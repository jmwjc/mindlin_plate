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625"/>
  </bookViews>
  <sheets>
    <sheet name="new_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<sst xmlns="http://schemas.openxmlformats.org/spreadsheetml/2006/main" count="1650" uniqueCount="41">
  <si>
    <t>ndiv_φ=16</t>
  </si>
  <si>
    <t>ndiv_w=2</t>
  </si>
  <si>
    <t>跑不出数据</t>
  </si>
  <si>
    <t>ndiv_w=3</t>
  </si>
  <si>
    <t>ndiv_w=4</t>
  </si>
  <si>
    <t>ndiv_w=5</t>
  </si>
  <si>
    <t>ndiv_w=6</t>
  </si>
  <si>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</si>
  <si>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</si>
  <si>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</si>
  <si>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</si>
  <si>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</si>
  <si>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</si>
  <si>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</si>
  <si>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</si>
  <si>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</si>
  <si>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</si>
  <si>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</si>
  <si>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理论最优nw</t>
  </si>
  <si>
    <t>ReproducingKernel{:Linear2D, :□, :CubicSpline}</t>
  </si>
  <si>
    <t>tri3</t>
  </si>
  <si>
    <t>PiecewisePolynomial{:Linear2D}</t>
  </si>
  <si>
    <t>ndiv_w=7</t>
  </si>
  <si>
    <t>ndiv_w=8</t>
  </si>
  <si>
    <t>ndiv_w=9</t>
  </si>
  <si>
    <t>ndiv_w=10</t>
  </si>
  <si>
    <t>ndiv_w=11</t>
  </si>
  <si>
    <t>ndiv_w=12</t>
  </si>
  <si>
    <t>ndiv_w=13</t>
  </si>
  <si>
    <t>ndiv_w=14</t>
  </si>
  <si>
    <t>ndiv_w=15</t>
  </si>
  <si>
    <t>ndiv_w=16</t>
  </si>
  <si>
    <t>ndiv_w=17</t>
  </si>
  <si>
    <t>ndiv_w=18</t>
  </si>
  <si>
    <t>ndiv_w=19</t>
  </si>
  <si>
    <t>ndiv_w=20</t>
  </si>
  <si>
    <t>ndiv_w=21</t>
  </si>
  <si>
    <t>ndiv_w=22</t>
  </si>
  <si>
    <t>ndiv_w=23</t>
  </si>
  <si>
    <t>ndiv_w=24</t>
  </si>
  <si>
    <t>ndiv_w=25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</si>
</sst>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等线"/>
      <charset val="134"/>
      <scheme val="minor"/>
    </font>
    <font>
      <sz val="12"/>
      <color theme="0"/>
      <name val="等线"/>
      <charset val="134"/>
      <scheme val="minor"/>
    </font>
    <font>
      <sz val="20"/>
      <color theme="1"/>
      <name val="等线"/>
      <charset val="134"/>
      <scheme val="minor"/>
    </font>
    <font>
      <sz val="20"/>
      <color theme="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29">
    <xf numFmtId="0" fontId="0" fillId="0" borderId="0" xfId="0"/>
    <xf numFmtId="0" fontId="1" fillId="0" borderId="0" xfId="0" applyFont="1" applyFill="1"/>
    <xf numFmtId="0" fontId="1" fillId="0" borderId="0" xfId="0" applyFont="1" applyFill="1" applyBorder="1" applyAlignment="1"/>
    <xf numFmtId="0" fontId="1" fillId="0" borderId="0" xfId="0" applyFont="1" applyFill="1" applyBorder="1" applyAlignment="1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0" fillId="0" borderId="0" xfId="0" applyFont="1" applyFill="1" applyAlignment="1"/>
    <xf numFmtId="0" fontId="0" fillId="4" borderId="0" xfId="0" applyFont="1" applyFill="1" applyAlignment="1"/>
    <xf numFmtId="0" fontId="0" fillId="0" borderId="0" xfId="0" applyFill="1" applyAlignment="1"/>
    <xf numFmtId="0" fontId="0" fillId="4" borderId="0" xfId="0" applyFill="1" applyAlignment="1"/>
    <xf numFmtId="0" fontId="3" fillId="0" borderId="0" xfId="0" applyFont="1" applyFill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/>
    <xf numFmtId="0" fontId="1" fillId="0" borderId="0" xfId="0" applyFont="1" applyFill="1" applyBorder="1" applyAlignment="1"/>
    <xf numFmtId="0" fontId="1" fillId="0" borderId="0" xfId="0" applyFont="1" applyFill="1" applyBorder="1" applyAlignment="1"/>
    <xf numFmtId="0" fontId="3" fillId="0" borderId="0" xfId="0" applyFont="1" applyFill="1" applyAlignment="1"/>
    <xf numFmtId="0" fontId="1" fillId="0" borderId="0" xfId="0" applyFont="1" applyFill="1" applyAlignment="1"/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/>
    <xf numFmtId="0" fontId="1" fillId="0" borderId="0" xfId="0" applyFont="1" applyFill="1" applyBorder="1" applyAlignment="1"/>
    <xf numFmtId="0" fontId="1" fillId="0" borderId="0" xfId="0" applyFont="1" applyFill="1" applyBorder="1" applyAlignment="1"/>
    <xf numFmtId="0" fontId="2" fillId="0" borderId="0" xfId="0" applyFont="1" applyFill="1" applyAlignment="1">
      <alignment vertical="center"/>
    </xf>
    <xf numFmtId="0" fontId="2" fillId="0" borderId="0" xfId="0" applyFont="1" applyFill="1" applyAlignment="1"/>
    <xf numFmtId="0" fontId="0" fillId="0" borderId="0" xfId="0" applyAlignment="1"/>
    <xf numFmtId="0" fontId="0" fillId="0" borderId="0" xfId="0" applyFill="1"/>
    <xf numFmtId="0" fontId="0" fillId="4" borderId="0" xfId="0" applyFill="1"/>
    <xf numFmtId="0" fontId="1" fillId="0" borderId="0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442"/>
  <sheetViews>
    <sheetView tabSelected="1" topLeftCell="A396" workbookViewId="0">
      <selection activeCell="M425" sqref="M425"/>
    </sheetView>
  </sheetViews>
  <sheetFormatPr defaultColWidth="11" defaultRowHeight="14.25"/>
  <cols>
    <col min="1" max="11" width="13.2333333333333" customWidth="1"/>
    <col min="14" max="14" width="11" style="1"/>
    <col min="15" max="65" width="11" style="2"/>
    <col min="66" max="66" width="11" style="3"/>
    <col min="67" max="72" width="11" style="2"/>
  </cols>
  <sheetData>
    <row r="1" ht="23.25" spans="1:76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N1" s="12"/>
      <c r="O1" s="13"/>
      <c r="P1" s="13"/>
      <c r="Q1" s="13"/>
      <c r="R1" s="13"/>
      <c r="S1" s="13"/>
      <c r="T1" s="13"/>
      <c r="U1" s="13"/>
      <c r="V1" s="13"/>
      <c r="W1" s="13"/>
      <c r="X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N1" s="13"/>
      <c r="BO1" s="19"/>
      <c r="BP1" s="19"/>
      <c r="BQ1" s="19"/>
      <c r="BR1" s="19"/>
      <c r="BS1" s="19"/>
      <c r="BT1" s="19"/>
      <c r="BU1" s="23"/>
      <c r="BV1" s="23"/>
      <c r="BW1" s="23"/>
      <c r="BX1" s="23"/>
    </row>
    <row r="2" ht="23.25" spans="1:76">
      <c r="A2" s="4"/>
      <c r="B2" s="4"/>
      <c r="C2" s="4"/>
      <c r="D2" s="4"/>
      <c r="E2" s="4"/>
      <c r="F2" s="4"/>
      <c r="G2" s="4"/>
      <c r="H2" s="4"/>
      <c r="I2" s="4"/>
      <c r="J2" s="4"/>
      <c r="K2" s="4"/>
      <c r="N2" s="12"/>
      <c r="O2" s="13"/>
      <c r="P2" s="13"/>
      <c r="Q2" s="13"/>
      <c r="R2" s="13"/>
      <c r="S2" s="13"/>
      <c r="T2" s="13"/>
      <c r="U2" s="13"/>
      <c r="V2" s="13"/>
      <c r="W2" s="13"/>
      <c r="X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N2" s="13"/>
      <c r="BO2" s="19"/>
      <c r="BP2" s="19"/>
      <c r="BQ2" s="19"/>
      <c r="BR2" s="19"/>
      <c r="BS2" s="19"/>
      <c r="BT2" s="19"/>
      <c r="BU2" s="23"/>
      <c r="BV2" s="23"/>
      <c r="BW2" s="23"/>
      <c r="BX2" s="23"/>
    </row>
    <row r="3" ht="23.25" spans="1:104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10"/>
      <c r="M3" s="10"/>
      <c r="N3" s="12"/>
      <c r="O3" s="14"/>
      <c r="P3" s="14"/>
      <c r="Q3" s="14"/>
      <c r="R3" s="14"/>
      <c r="S3" s="14"/>
      <c r="T3" s="14"/>
      <c r="U3" s="14"/>
      <c r="V3" s="14"/>
      <c r="W3" s="14"/>
      <c r="X3" s="14"/>
      <c r="Y3" s="15"/>
      <c r="Z3" s="15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5"/>
      <c r="AM3" s="15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5"/>
      <c r="AZ3" s="15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5"/>
      <c r="BM3" s="15"/>
      <c r="BN3" s="13"/>
      <c r="BO3" s="19"/>
      <c r="BP3" s="19"/>
      <c r="BQ3" s="19"/>
      <c r="BR3" s="19"/>
      <c r="BS3" s="19"/>
      <c r="BT3" s="19"/>
      <c r="BU3" s="23"/>
      <c r="BV3" s="23"/>
      <c r="BW3" s="23"/>
      <c r="BX3" s="23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</row>
    <row r="4" ht="23.25" spans="1:10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10"/>
      <c r="M4" s="10"/>
      <c r="N4" s="12"/>
      <c r="O4" s="14"/>
      <c r="P4" s="14"/>
      <c r="Q4" s="14"/>
      <c r="R4" s="14"/>
      <c r="S4" s="14"/>
      <c r="T4" s="14"/>
      <c r="U4" s="14"/>
      <c r="V4" s="14"/>
      <c r="W4" s="14"/>
      <c r="X4" s="14"/>
      <c r="Y4" s="15"/>
      <c r="Z4" s="15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5"/>
      <c r="AM4" s="15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5"/>
      <c r="AZ4" s="15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5"/>
      <c r="BM4" s="15"/>
      <c r="BN4" s="13"/>
      <c r="BO4" s="19"/>
      <c r="BP4" s="19"/>
      <c r="BQ4" s="19"/>
      <c r="BR4" s="19"/>
      <c r="BS4" s="19"/>
      <c r="BT4" s="19"/>
      <c r="BU4" s="23"/>
      <c r="BV4" s="23"/>
      <c r="BW4" s="23"/>
      <c r="BX4" s="23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</row>
    <row r="5" ht="23.25" spans="1:104">
      <c r="A5" s="6" t="s">
        <v>2</v>
      </c>
      <c r="B5" s="6"/>
      <c r="C5" s="6"/>
      <c r="D5" s="6"/>
      <c r="E5" s="6"/>
      <c r="F5" s="6"/>
      <c r="G5" s="6"/>
      <c r="H5" s="6"/>
      <c r="I5" s="6"/>
      <c r="J5" s="6"/>
      <c r="K5" s="6"/>
      <c r="L5" s="10"/>
      <c r="M5" s="10"/>
      <c r="N5" s="12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4"/>
      <c r="AM5" s="15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5"/>
      <c r="AZ5" s="15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5"/>
      <c r="BM5" s="15"/>
      <c r="BN5" s="13"/>
      <c r="BO5" s="19"/>
      <c r="BP5" s="19"/>
      <c r="BQ5" s="19"/>
      <c r="BR5" s="19"/>
      <c r="BS5" s="19"/>
      <c r="BT5" s="19"/>
      <c r="BU5" s="23"/>
      <c r="BV5" s="23"/>
      <c r="BW5" s="23"/>
      <c r="BX5" s="23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</row>
    <row r="6" ht="23.25" spans="1:104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10"/>
      <c r="M6" s="10"/>
      <c r="N6" s="12"/>
      <c r="O6" s="16"/>
      <c r="P6" s="16"/>
      <c r="Q6" s="16"/>
      <c r="R6" s="16"/>
      <c r="S6" s="16"/>
      <c r="T6" s="16"/>
      <c r="U6" s="16"/>
      <c r="V6" s="16"/>
      <c r="W6" s="16"/>
      <c r="X6" s="16"/>
      <c r="Y6" s="15"/>
      <c r="Z6" s="15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4"/>
      <c r="AM6" s="15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5"/>
      <c r="AZ6" s="15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5"/>
      <c r="BM6" s="15"/>
      <c r="BN6" s="13"/>
      <c r="BO6" s="19"/>
      <c r="BP6" s="19"/>
      <c r="BQ6" s="19"/>
      <c r="BR6" s="19"/>
      <c r="BS6" s="19"/>
      <c r="BT6" s="19"/>
      <c r="BU6" s="23"/>
      <c r="BV6" s="23"/>
      <c r="BW6" s="23"/>
      <c r="BX6" s="23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5"/>
    </row>
    <row r="7" ht="23.25" spans="1:104">
      <c r="A7" s="7" t="s">
        <v>3</v>
      </c>
      <c r="B7" s="7"/>
      <c r="C7" s="7"/>
      <c r="D7" s="7"/>
      <c r="E7" s="7"/>
      <c r="F7" s="7"/>
      <c r="G7" s="7"/>
      <c r="H7" s="7"/>
      <c r="I7" s="7"/>
      <c r="J7" s="7"/>
      <c r="K7" s="7"/>
      <c r="L7" s="10"/>
      <c r="M7" s="10"/>
      <c r="N7" s="17"/>
      <c r="O7" s="16"/>
      <c r="P7" s="16"/>
      <c r="Q7" s="16"/>
      <c r="R7" s="16"/>
      <c r="S7" s="16"/>
      <c r="T7" s="16"/>
      <c r="U7" s="16"/>
      <c r="V7" s="16"/>
      <c r="W7" s="16"/>
      <c r="X7" s="16"/>
      <c r="Y7" s="15"/>
      <c r="Z7" s="15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5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5"/>
      <c r="AZ7" s="15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15"/>
      <c r="BM7" s="15"/>
      <c r="BN7" s="20"/>
      <c r="BO7" s="14"/>
      <c r="BP7" s="14"/>
      <c r="BQ7" s="14"/>
      <c r="BR7" s="14"/>
      <c r="BS7" s="14"/>
      <c r="BT7" s="14"/>
      <c r="BU7" s="24"/>
      <c r="BV7" s="24"/>
      <c r="BW7" s="24"/>
      <c r="BX7" s="24"/>
      <c r="BY7" s="25"/>
      <c r="BZ7" s="25"/>
      <c r="CA7" s="25"/>
      <c r="CB7" s="25"/>
      <c r="CC7" s="25"/>
      <c r="CD7" s="25"/>
      <c r="CE7" s="25"/>
      <c r="CF7" s="25"/>
      <c r="CG7" s="25"/>
      <c r="CH7" s="25"/>
      <c r="CI7" s="25"/>
      <c r="CJ7" s="25"/>
      <c r="CK7" s="25"/>
      <c r="CL7" s="25"/>
      <c r="CM7" s="25"/>
      <c r="CN7" s="25"/>
      <c r="CO7" s="25"/>
      <c r="CP7" s="25"/>
      <c r="CQ7" s="25"/>
      <c r="CR7" s="25"/>
      <c r="CS7" s="25"/>
      <c r="CT7" s="25"/>
      <c r="CU7" s="25"/>
      <c r="CV7" s="25"/>
      <c r="CW7" s="25"/>
      <c r="CX7" s="25"/>
      <c r="CY7" s="25"/>
      <c r="CZ7" s="25"/>
    </row>
    <row r="8" ht="23.25" spans="1:104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10"/>
      <c r="M8" s="10"/>
      <c r="N8" s="17"/>
      <c r="O8" s="16"/>
      <c r="P8" s="16"/>
      <c r="Q8" s="16"/>
      <c r="R8" s="16"/>
      <c r="S8" s="16"/>
      <c r="T8" s="16"/>
      <c r="U8" s="16"/>
      <c r="V8" s="16"/>
      <c r="W8" s="16"/>
      <c r="X8" s="16"/>
      <c r="Y8" s="15"/>
      <c r="Z8" s="15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5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5"/>
      <c r="AZ8" s="15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15"/>
      <c r="BM8" s="15"/>
      <c r="BN8" s="20"/>
      <c r="BO8" s="14"/>
      <c r="BP8" s="14"/>
      <c r="BQ8" s="14"/>
      <c r="BR8" s="14"/>
      <c r="BS8" s="14"/>
      <c r="BT8" s="14"/>
      <c r="BU8" s="24"/>
      <c r="BV8" s="24"/>
      <c r="BW8" s="24"/>
      <c r="BX8" s="24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</row>
    <row r="9" ht="23.25" spans="1:104">
      <c r="A9" s="6" t="s">
        <v>2</v>
      </c>
      <c r="B9" s="6"/>
      <c r="C9" s="6"/>
      <c r="D9" s="6"/>
      <c r="E9" s="6"/>
      <c r="F9" s="6"/>
      <c r="G9" s="6"/>
      <c r="H9" s="6"/>
      <c r="I9" s="6"/>
      <c r="J9" s="6"/>
      <c r="K9" s="6"/>
      <c r="L9" s="10"/>
      <c r="M9" s="10"/>
      <c r="N9" s="12"/>
      <c r="O9" s="16"/>
      <c r="P9" s="16"/>
      <c r="Q9" s="16"/>
      <c r="R9" s="16"/>
      <c r="S9" s="16"/>
      <c r="T9" s="16"/>
      <c r="U9" s="16"/>
      <c r="V9" s="16"/>
      <c r="W9" s="16"/>
      <c r="X9" s="16"/>
      <c r="Y9" s="15"/>
      <c r="Z9" s="15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5"/>
      <c r="AM9" s="15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5"/>
      <c r="AZ9" s="15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5"/>
      <c r="BM9" s="15"/>
      <c r="BN9" s="13"/>
      <c r="BO9" s="19"/>
      <c r="BP9" s="19"/>
      <c r="BQ9" s="19"/>
      <c r="BR9" s="19"/>
      <c r="BS9" s="19"/>
      <c r="BT9" s="19"/>
      <c r="BU9" s="23"/>
      <c r="BV9" s="23"/>
      <c r="BW9" s="23"/>
      <c r="BX9" s="23"/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5"/>
      <c r="CU9" s="25"/>
      <c r="CV9" s="25"/>
      <c r="CW9" s="25"/>
      <c r="CX9" s="25"/>
      <c r="CY9" s="25"/>
      <c r="CZ9" s="25"/>
    </row>
    <row r="10" ht="23.25" spans="1:104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10"/>
      <c r="M10" s="10"/>
      <c r="N10" s="12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5"/>
      <c r="Z10" s="15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5"/>
      <c r="AM10" s="15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5"/>
      <c r="AZ10" s="15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5"/>
      <c r="BM10" s="15"/>
      <c r="BN10" s="13"/>
      <c r="BO10" s="19"/>
      <c r="BP10" s="19"/>
      <c r="BQ10" s="19"/>
      <c r="BR10" s="19"/>
      <c r="BS10" s="19"/>
      <c r="BT10" s="19"/>
      <c r="BU10" s="23"/>
      <c r="BV10" s="23"/>
      <c r="BW10" s="23"/>
      <c r="BX10" s="23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25"/>
      <c r="CW10" s="25"/>
      <c r="CX10" s="25"/>
      <c r="CY10" s="25"/>
      <c r="CZ10" s="25"/>
    </row>
    <row r="11" ht="23.25" spans="1:104">
      <c r="A11" s="7" t="s">
        <v>4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10"/>
      <c r="M11" s="10"/>
      <c r="N11" s="17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5"/>
      <c r="Z11" s="15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5"/>
      <c r="AM11" s="15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5"/>
      <c r="AZ11" s="15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15"/>
      <c r="BM11" s="15"/>
      <c r="BN11" s="20"/>
      <c r="BO11" s="14"/>
      <c r="BP11" s="14"/>
      <c r="BQ11" s="14"/>
      <c r="BR11" s="14"/>
      <c r="BS11" s="14"/>
      <c r="BT11" s="14"/>
      <c r="BU11" s="24"/>
      <c r="BV11" s="24"/>
      <c r="BW11" s="24"/>
      <c r="BX11" s="24"/>
      <c r="BY11" s="25"/>
      <c r="BZ11" s="25"/>
      <c r="CA11" s="25"/>
      <c r="CB11" s="25"/>
      <c r="CC11" s="25"/>
      <c r="CD11" s="25"/>
      <c r="CE11" s="25"/>
      <c r="CF11" s="25"/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25"/>
      <c r="CU11" s="25"/>
      <c r="CV11" s="25"/>
      <c r="CW11" s="25"/>
      <c r="CX11" s="25"/>
      <c r="CY11" s="25"/>
      <c r="CZ11" s="25"/>
    </row>
    <row r="12" ht="23.25" spans="1:104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10"/>
      <c r="M12" s="10"/>
      <c r="N12" s="17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5"/>
      <c r="Z12" s="15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5"/>
      <c r="AM12" s="15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5"/>
      <c r="AZ12" s="15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15"/>
      <c r="BM12" s="15"/>
      <c r="BN12" s="20"/>
      <c r="BO12" s="14"/>
      <c r="BP12" s="14"/>
      <c r="BQ12" s="14"/>
      <c r="BR12" s="14"/>
      <c r="BS12" s="14"/>
      <c r="BT12" s="14"/>
      <c r="BU12" s="24"/>
      <c r="BV12" s="24"/>
      <c r="BW12" s="24"/>
      <c r="BX12" s="24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5"/>
      <c r="CW12" s="25"/>
      <c r="CX12" s="25"/>
      <c r="CY12" s="25"/>
      <c r="CZ12" s="25"/>
    </row>
    <row r="13" ht="23.25" spans="1:104">
      <c r="A13" s="6" t="s">
        <v>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10"/>
      <c r="M13" s="10"/>
      <c r="N13" s="12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5"/>
      <c r="AZ13" s="15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5"/>
      <c r="BM13" s="15"/>
      <c r="BN13" s="13"/>
      <c r="BO13" s="19"/>
      <c r="BP13" s="19"/>
      <c r="BQ13" s="19"/>
      <c r="BR13" s="19"/>
      <c r="BS13" s="19"/>
      <c r="BT13" s="19"/>
      <c r="BU13" s="23"/>
      <c r="BV13" s="23"/>
      <c r="BW13" s="23"/>
      <c r="BX13" s="23"/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25"/>
      <c r="CZ13" s="25"/>
    </row>
    <row r="14" ht="23.25" spans="1:10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10"/>
      <c r="M14" s="10"/>
      <c r="N14" s="12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5"/>
      <c r="Z14" s="15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5"/>
      <c r="AM14" s="15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5"/>
      <c r="AZ14" s="15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5"/>
      <c r="BM14" s="15"/>
      <c r="BN14" s="13"/>
      <c r="BO14" s="19"/>
      <c r="BP14" s="19"/>
      <c r="BQ14" s="19"/>
      <c r="BR14" s="19"/>
      <c r="BS14" s="19"/>
      <c r="BT14" s="19"/>
      <c r="BU14" s="23"/>
      <c r="BV14" s="23"/>
      <c r="BW14" s="23"/>
      <c r="BX14" s="23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</row>
    <row r="15" ht="23.25" spans="1:104">
      <c r="A15" s="7" t="s">
        <v>5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10"/>
      <c r="M15" s="10"/>
      <c r="N15" s="17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5"/>
      <c r="Z15" s="15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5"/>
      <c r="AM15" s="15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5"/>
      <c r="AZ15" s="15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15"/>
      <c r="BM15" s="15"/>
      <c r="BN15" s="20"/>
      <c r="BO15" s="14"/>
      <c r="BP15" s="14"/>
      <c r="BQ15" s="14"/>
      <c r="BR15" s="14"/>
      <c r="BS15" s="14"/>
      <c r="BT15" s="14"/>
      <c r="BU15" s="24"/>
      <c r="BV15" s="24"/>
      <c r="BW15" s="24"/>
      <c r="BX15" s="24"/>
      <c r="BY15" s="25"/>
      <c r="BZ15" s="25"/>
      <c r="CA15" s="25"/>
      <c r="CB15" s="25"/>
      <c r="CC15" s="25"/>
      <c r="CD15" s="25"/>
      <c r="CE15" s="25"/>
      <c r="CF15" s="25"/>
      <c r="CG15" s="25"/>
      <c r="CH15" s="25"/>
      <c r="CI15" s="25"/>
      <c r="CJ15" s="25"/>
      <c r="CK15" s="25"/>
      <c r="CL15" s="25"/>
      <c r="CM15" s="25"/>
      <c r="CN15" s="25"/>
      <c r="CO15" s="25"/>
      <c r="CP15" s="25"/>
      <c r="CQ15" s="25"/>
      <c r="CR15" s="25"/>
      <c r="CS15" s="25"/>
      <c r="CT15" s="25"/>
      <c r="CU15" s="25"/>
      <c r="CV15" s="25"/>
      <c r="CW15" s="25"/>
      <c r="CX15" s="25"/>
      <c r="CY15" s="25"/>
      <c r="CZ15" s="25"/>
    </row>
    <row r="16" ht="23.25" spans="1:104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10"/>
      <c r="M16" s="10"/>
      <c r="N16" s="17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5"/>
      <c r="Z16" s="15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5"/>
      <c r="AM16" s="15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5"/>
      <c r="AZ16" s="15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15"/>
      <c r="BM16" s="15"/>
      <c r="BN16" s="20"/>
      <c r="BO16" s="14"/>
      <c r="BP16" s="14"/>
      <c r="BQ16" s="14"/>
      <c r="BR16" s="14"/>
      <c r="BS16" s="14"/>
      <c r="BT16" s="14"/>
      <c r="BU16" s="24"/>
      <c r="BV16" s="24"/>
      <c r="BW16" s="24"/>
      <c r="BX16" s="24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5"/>
      <c r="CK16" s="25"/>
      <c r="CL16" s="25"/>
      <c r="CM16" s="25"/>
      <c r="CN16" s="25"/>
      <c r="CO16" s="25"/>
      <c r="CP16" s="25"/>
      <c r="CQ16" s="25"/>
      <c r="CR16" s="25"/>
      <c r="CS16" s="25"/>
      <c r="CT16" s="25"/>
      <c r="CU16" s="25"/>
      <c r="CV16" s="25"/>
      <c r="CW16" s="25"/>
      <c r="CX16" s="25"/>
      <c r="CY16" s="25"/>
      <c r="CZ16" s="25"/>
    </row>
    <row r="17" ht="23.25" spans="1:104">
      <c r="A17" s="6" t="s">
        <v>2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10"/>
      <c r="M17" s="10"/>
      <c r="N17" s="12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5"/>
      <c r="Z17" s="15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5"/>
      <c r="BM17" s="15"/>
      <c r="BN17" s="13"/>
      <c r="BO17" s="19"/>
      <c r="BP17" s="19"/>
      <c r="BQ17" s="19"/>
      <c r="BR17" s="19"/>
      <c r="BS17" s="19"/>
      <c r="BT17" s="19"/>
      <c r="BU17" s="23"/>
      <c r="BV17" s="23"/>
      <c r="BW17" s="23"/>
      <c r="BX17" s="23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</row>
    <row r="18" ht="23.25" spans="1:104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10"/>
      <c r="M18" s="10"/>
      <c r="N18" s="12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5"/>
      <c r="Z18" s="15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5"/>
      <c r="AM18" s="15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5"/>
      <c r="AZ18" s="15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5"/>
      <c r="BM18" s="15"/>
      <c r="BN18" s="13"/>
      <c r="BO18" s="19"/>
      <c r="BP18" s="19"/>
      <c r="BQ18" s="19"/>
      <c r="BR18" s="19"/>
      <c r="BS18" s="19"/>
      <c r="BT18" s="19"/>
      <c r="BU18" s="23"/>
      <c r="BV18" s="23"/>
      <c r="BW18" s="23"/>
      <c r="BX18" s="23"/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/>
      <c r="CW18" s="25"/>
      <c r="CX18" s="25"/>
      <c r="CY18" s="25"/>
      <c r="CZ18" s="25"/>
    </row>
    <row r="19" ht="23.25" spans="1:104">
      <c r="A19" s="7" t="s">
        <v>6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10"/>
      <c r="M19" s="10"/>
      <c r="N19" s="17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5"/>
      <c r="Z19" s="15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5"/>
      <c r="AM19" s="15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5"/>
      <c r="AZ19" s="15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15"/>
      <c r="BM19" s="15"/>
      <c r="BN19" s="20"/>
      <c r="BO19" s="14"/>
      <c r="BP19" s="14"/>
      <c r="BQ19" s="14"/>
      <c r="BR19" s="14"/>
      <c r="BS19" s="14"/>
      <c r="BT19" s="14"/>
      <c r="BU19" s="24"/>
      <c r="BV19" s="24"/>
      <c r="BW19" s="24"/>
      <c r="BX19" s="24"/>
      <c r="BY19" s="25"/>
      <c r="BZ19" s="25"/>
      <c r="CA19" s="25"/>
      <c r="CB19" s="25"/>
      <c r="CC19" s="25"/>
      <c r="CD19" s="25"/>
      <c r="CE19" s="25"/>
      <c r="CF19" s="25"/>
      <c r="CG19" s="25"/>
      <c r="CH19" s="25"/>
      <c r="CI19" s="25"/>
      <c r="CJ19" s="25"/>
      <c r="CK19" s="25"/>
      <c r="CL19" s="25"/>
      <c r="CM19" s="25"/>
      <c r="CN19" s="25"/>
      <c r="CO19" s="25"/>
      <c r="CP19" s="25"/>
      <c r="CQ19" s="25"/>
      <c r="CR19" s="25"/>
      <c r="CS19" s="25"/>
      <c r="CT19" s="25"/>
      <c r="CU19" s="25"/>
      <c r="CV19" s="25"/>
      <c r="CW19" s="25"/>
      <c r="CX19" s="25"/>
      <c r="CY19" s="25"/>
      <c r="CZ19" s="25"/>
    </row>
    <row r="20" ht="23.25" spans="1:104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10"/>
      <c r="M20" s="10"/>
      <c r="N20" s="17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5"/>
      <c r="Z20" s="15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5"/>
      <c r="AM20" s="15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5"/>
      <c r="AZ20" s="15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15"/>
      <c r="BM20" s="15"/>
      <c r="BN20" s="20"/>
      <c r="BO20" s="14"/>
      <c r="BP20" s="14"/>
      <c r="BQ20" s="14"/>
      <c r="BR20" s="14"/>
      <c r="BS20" s="14"/>
      <c r="BT20" s="14"/>
      <c r="BU20" s="24"/>
      <c r="BV20" s="24"/>
      <c r="BW20" s="24"/>
      <c r="BX20" s="24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25"/>
      <c r="CU20" s="25"/>
      <c r="CV20" s="25"/>
      <c r="CW20" s="25"/>
      <c r="CX20" s="25"/>
      <c r="CY20" s="25"/>
      <c r="CZ20" s="25"/>
    </row>
    <row r="21" spans="1:104">
      <c r="A21" s="8" t="s">
        <v>7</v>
      </c>
      <c r="B21" s="8" t="s">
        <v>8</v>
      </c>
      <c r="C21" s="8" t="s">
        <v>9</v>
      </c>
      <c r="D21" s="8" t="s">
        <v>10</v>
      </c>
      <c r="E21" s="8" t="s">
        <v>11</v>
      </c>
      <c r="F21" s="8" t="s">
        <v>12</v>
      </c>
      <c r="G21" s="8" t="s">
        <v>13</v>
      </c>
      <c r="H21" s="8" t="s">
        <v>14</v>
      </c>
      <c r="I21" s="8" t="s">
        <v>15</v>
      </c>
      <c r="J21" s="8" t="s">
        <v>16</v>
      </c>
      <c r="K21" s="8" t="s">
        <v>17</v>
      </c>
      <c r="L21" s="10"/>
      <c r="M21" s="10" t="s">
        <v>18</v>
      </c>
      <c r="N21" s="18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5"/>
      <c r="Z21" s="15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5"/>
      <c r="AM21" s="15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5"/>
      <c r="AZ21" s="15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5"/>
      <c r="BM21" s="15"/>
      <c r="BN21" s="21"/>
      <c r="BO21" s="15"/>
      <c r="BP21" s="15"/>
      <c r="BQ21" s="15"/>
      <c r="BR21" s="15"/>
      <c r="BS21" s="15"/>
      <c r="BT21" s="15"/>
      <c r="BU21" s="10"/>
      <c r="BV21" s="10"/>
      <c r="BW21" s="10"/>
      <c r="BX21" s="10"/>
      <c r="BY21" s="25"/>
      <c r="BZ21" s="25"/>
      <c r="CA21" s="25"/>
      <c r="CB21" s="25"/>
      <c r="CC21" s="25"/>
      <c r="CD21" s="25"/>
      <c r="CE21" s="25"/>
      <c r="CF21" s="25"/>
      <c r="CG21" s="25"/>
      <c r="CH21" s="25"/>
      <c r="CI21" s="25"/>
      <c r="CJ21" s="25"/>
      <c r="CK21" s="25"/>
      <c r="CL21" s="25"/>
      <c r="CM21" s="25"/>
      <c r="CN21" s="25"/>
      <c r="CO21" s="25"/>
      <c r="CP21" s="25"/>
      <c r="CQ21" s="25"/>
      <c r="CR21" s="25"/>
      <c r="CS21" s="25"/>
      <c r="CT21" s="25"/>
      <c r="CU21" s="25"/>
      <c r="CV21" s="25"/>
      <c r="CW21" s="25"/>
      <c r="CX21" s="25"/>
      <c r="CY21" s="25"/>
      <c r="CZ21" s="25"/>
    </row>
    <row r="22" spans="1:104">
      <c r="A22" s="8" t="s">
        <v>19</v>
      </c>
      <c r="B22" s="8">
        <v>61</v>
      </c>
      <c r="C22" s="8" t="s">
        <v>19</v>
      </c>
      <c r="D22" s="8">
        <v>340</v>
      </c>
      <c r="E22" s="8" t="s">
        <v>20</v>
      </c>
      <c r="F22" s="8">
        <v>49</v>
      </c>
      <c r="G22" s="8" t="s">
        <v>21</v>
      </c>
      <c r="H22" s="8">
        <v>216</v>
      </c>
      <c r="I22" s="8">
        <v>31.2166823974391</v>
      </c>
      <c r="J22" s="8">
        <v>31.9417907129274</v>
      </c>
      <c r="K22" s="8">
        <v>13.6155714059048</v>
      </c>
      <c r="L22" s="10"/>
      <c r="M22" s="10">
        <f t="shared" ref="M22:M48" si="0">(FLOOR(((SQRT(1+8*F22)-3))/2,0.1)*(FLOOR(((SQRT(1+8*F22)-3))/2,0.1)+1))/2</f>
        <v>39.48</v>
      </c>
      <c r="N22" s="18">
        <f t="shared" ref="N22:N48" si="1">ABS(B22-M22)</f>
        <v>21.52</v>
      </c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5"/>
      <c r="Z22" s="15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5"/>
      <c r="AM22" s="15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5"/>
      <c r="AZ22" s="15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5"/>
      <c r="BM22" s="15"/>
      <c r="BN22" s="21"/>
      <c r="BO22" s="16"/>
      <c r="BP22" s="16"/>
      <c r="BQ22" s="16"/>
      <c r="BR22" s="16"/>
      <c r="BS22" s="16"/>
      <c r="BT22" s="16"/>
      <c r="BU22" s="8"/>
      <c r="BV22" s="8"/>
      <c r="BW22" s="8"/>
      <c r="BX22" s="8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</row>
    <row r="23" spans="1:104">
      <c r="A23" s="8" t="s">
        <v>19</v>
      </c>
      <c r="B23" s="8">
        <v>61</v>
      </c>
      <c r="C23" s="8" t="s">
        <v>19</v>
      </c>
      <c r="D23" s="8">
        <v>340</v>
      </c>
      <c r="E23" s="8" t="s">
        <v>20</v>
      </c>
      <c r="F23" s="8">
        <v>64</v>
      </c>
      <c r="G23" s="8" t="s">
        <v>21</v>
      </c>
      <c r="H23" s="8">
        <v>294</v>
      </c>
      <c r="I23" s="8">
        <v>1.22299932997984</v>
      </c>
      <c r="J23" s="8">
        <v>2.37842710168881</v>
      </c>
      <c r="K23" s="8">
        <v>0.133346836288377</v>
      </c>
      <c r="L23" s="10"/>
      <c r="M23" s="10">
        <f t="shared" si="0"/>
        <v>52.92</v>
      </c>
      <c r="N23" s="18">
        <f t="shared" si="1"/>
        <v>8.07999999999999</v>
      </c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5"/>
      <c r="Z23" s="15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5"/>
      <c r="AM23" s="15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5"/>
      <c r="AZ23" s="15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5"/>
      <c r="BM23" s="15"/>
      <c r="BN23" s="21"/>
      <c r="BO23" s="16"/>
      <c r="BP23" s="16"/>
      <c r="BQ23" s="16"/>
      <c r="BR23" s="16"/>
      <c r="BS23" s="16"/>
      <c r="BT23" s="16"/>
      <c r="BU23" s="8"/>
      <c r="BV23" s="8"/>
      <c r="BW23" s="8"/>
      <c r="BX23" s="8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  <c r="CK23" s="25"/>
      <c r="CL23" s="25"/>
      <c r="CM23" s="25"/>
      <c r="CN23" s="25"/>
      <c r="CO23" s="25"/>
      <c r="CP23" s="25"/>
      <c r="CQ23" s="25"/>
      <c r="CR23" s="25"/>
      <c r="CS23" s="25"/>
      <c r="CT23" s="25"/>
      <c r="CU23" s="25"/>
      <c r="CV23" s="25"/>
      <c r="CW23" s="25"/>
      <c r="CX23" s="25"/>
      <c r="CY23" s="25"/>
      <c r="CZ23" s="25"/>
    </row>
    <row r="24" spans="1:104">
      <c r="A24" s="9" t="s">
        <v>19</v>
      </c>
      <c r="B24" s="9">
        <v>61</v>
      </c>
      <c r="C24" s="9" t="s">
        <v>19</v>
      </c>
      <c r="D24" s="9">
        <v>340</v>
      </c>
      <c r="E24" s="9" t="s">
        <v>20</v>
      </c>
      <c r="F24" s="9">
        <v>81</v>
      </c>
      <c r="G24" s="9" t="s">
        <v>21</v>
      </c>
      <c r="H24" s="9">
        <v>384</v>
      </c>
      <c r="I24" s="9">
        <v>-1.21767156423924</v>
      </c>
      <c r="J24" s="9">
        <v>-0.340773263867284</v>
      </c>
      <c r="K24" s="9">
        <v>-0.442870864090612</v>
      </c>
      <c r="L24" s="11"/>
      <c r="M24" s="11">
        <f t="shared" si="0"/>
        <v>68.32</v>
      </c>
      <c r="N24" s="18">
        <f t="shared" si="1"/>
        <v>7.32000000000001</v>
      </c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5"/>
      <c r="Z24" s="15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5"/>
      <c r="AM24" s="15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5"/>
      <c r="AZ24" s="15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2"/>
      <c r="BM24" s="22"/>
      <c r="BN24" s="21"/>
      <c r="BO24" s="16"/>
      <c r="BP24" s="16"/>
      <c r="BQ24" s="16"/>
      <c r="BR24" s="16"/>
      <c r="BS24" s="16"/>
      <c r="BT24" s="16"/>
      <c r="BU24" s="8"/>
      <c r="BV24" s="8"/>
      <c r="BW24" s="8"/>
      <c r="BX24" s="8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</row>
    <row r="25" spans="1:104">
      <c r="A25" s="8" t="s">
        <v>19</v>
      </c>
      <c r="B25" s="8">
        <v>61</v>
      </c>
      <c r="C25" s="8" t="s">
        <v>19</v>
      </c>
      <c r="D25" s="8">
        <v>340</v>
      </c>
      <c r="E25" s="8" t="s">
        <v>20</v>
      </c>
      <c r="F25" s="8">
        <v>100</v>
      </c>
      <c r="G25" s="8" t="s">
        <v>21</v>
      </c>
      <c r="H25" s="8">
        <v>486</v>
      </c>
      <c r="I25" s="8">
        <v>-1.23563585311992</v>
      </c>
      <c r="J25" s="8">
        <v>-0.973762788769759</v>
      </c>
      <c r="K25" s="8">
        <v>-0.100952755889547</v>
      </c>
      <c r="L25" s="10"/>
      <c r="M25" s="10">
        <f t="shared" si="0"/>
        <v>85.68</v>
      </c>
      <c r="N25" s="18">
        <f t="shared" si="1"/>
        <v>24.68</v>
      </c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5"/>
      <c r="Z25" s="15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5"/>
      <c r="AM25" s="15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5"/>
      <c r="AZ25" s="15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5"/>
      <c r="BM25" s="15"/>
      <c r="BN25" s="21"/>
      <c r="BO25" s="16"/>
      <c r="BP25" s="16"/>
      <c r="BQ25" s="16"/>
      <c r="BR25" s="16"/>
      <c r="BS25" s="16"/>
      <c r="BT25" s="16"/>
      <c r="BU25" s="8"/>
      <c r="BV25" s="8"/>
      <c r="BW25" s="8"/>
      <c r="BX25" s="8"/>
      <c r="BY25" s="25"/>
      <c r="BZ25" s="25"/>
      <c r="CA25" s="25"/>
      <c r="CB25" s="25"/>
      <c r="CC25" s="25"/>
      <c r="CD25" s="25"/>
      <c r="CE25" s="25"/>
      <c r="CF25" s="25"/>
      <c r="CG25" s="25"/>
      <c r="CH25" s="25"/>
      <c r="CI25" s="25"/>
      <c r="CJ25" s="25"/>
      <c r="CK25" s="25"/>
      <c r="CL25" s="25"/>
      <c r="CM25" s="25"/>
      <c r="CN25" s="25"/>
      <c r="CO25" s="25"/>
      <c r="CP25" s="25"/>
      <c r="CQ25" s="25"/>
      <c r="CR25" s="25"/>
      <c r="CS25" s="25"/>
      <c r="CT25" s="25"/>
      <c r="CU25" s="25"/>
      <c r="CV25" s="25"/>
      <c r="CW25" s="25"/>
      <c r="CX25" s="25"/>
      <c r="CY25" s="25"/>
      <c r="CZ25" s="25"/>
    </row>
    <row r="26" spans="1:104">
      <c r="A26" s="8" t="s">
        <v>19</v>
      </c>
      <c r="B26" s="8">
        <v>61</v>
      </c>
      <c r="C26" s="8" t="s">
        <v>19</v>
      </c>
      <c r="D26" s="8">
        <v>340</v>
      </c>
      <c r="E26" s="8" t="s">
        <v>20</v>
      </c>
      <c r="F26" s="8">
        <v>121</v>
      </c>
      <c r="G26" s="8" t="s">
        <v>21</v>
      </c>
      <c r="H26" s="8">
        <v>600</v>
      </c>
      <c r="I26" s="8">
        <v>-1.18283065576145</v>
      </c>
      <c r="J26" s="8">
        <v>-0.989108832943504</v>
      </c>
      <c r="K26" s="8">
        <v>-0.0551941547691375</v>
      </c>
      <c r="L26" s="10"/>
      <c r="M26" s="10">
        <f t="shared" si="0"/>
        <v>105</v>
      </c>
      <c r="N26" s="18">
        <f t="shared" si="1"/>
        <v>44</v>
      </c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5"/>
      <c r="Z26" s="15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5"/>
      <c r="AM26" s="15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5"/>
      <c r="AZ26" s="15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5"/>
      <c r="BM26" s="15"/>
      <c r="BN26" s="21"/>
      <c r="BO26" s="16"/>
      <c r="BP26" s="16"/>
      <c r="BQ26" s="16"/>
      <c r="BR26" s="16"/>
      <c r="BS26" s="16"/>
      <c r="BT26" s="16"/>
      <c r="BU26" s="8"/>
      <c r="BV26" s="8"/>
      <c r="BW26" s="8"/>
      <c r="BX26" s="8"/>
      <c r="BY26" s="25"/>
      <c r="BZ26" s="25"/>
      <c r="CA26" s="25"/>
      <c r="CB26" s="25"/>
      <c r="CC26" s="25"/>
      <c r="CD26" s="25"/>
      <c r="CE26" s="25"/>
      <c r="CF26" s="25"/>
      <c r="CG26" s="25"/>
      <c r="CH26" s="25"/>
      <c r="CI26" s="25"/>
      <c r="CJ26" s="25"/>
      <c r="CK26" s="25"/>
      <c r="CL26" s="25"/>
      <c r="CM26" s="25"/>
      <c r="CN26" s="25"/>
      <c r="CO26" s="25"/>
      <c r="CP26" s="25"/>
      <c r="CQ26" s="25"/>
      <c r="CR26" s="25"/>
      <c r="CS26" s="25"/>
      <c r="CT26" s="25"/>
      <c r="CU26" s="25"/>
      <c r="CV26" s="25"/>
      <c r="CW26" s="25"/>
      <c r="CX26" s="25"/>
      <c r="CY26" s="25"/>
      <c r="CZ26" s="25"/>
    </row>
    <row r="27" spans="1:104">
      <c r="A27" s="8" t="s">
        <v>19</v>
      </c>
      <c r="B27" s="8">
        <v>61</v>
      </c>
      <c r="C27" s="8" t="s">
        <v>19</v>
      </c>
      <c r="D27" s="8">
        <v>340</v>
      </c>
      <c r="E27" s="8" t="s">
        <v>20</v>
      </c>
      <c r="F27" s="8">
        <v>144</v>
      </c>
      <c r="G27" s="8" t="s">
        <v>21</v>
      </c>
      <c r="H27" s="8">
        <v>726</v>
      </c>
      <c r="I27" s="8">
        <v>-0.879142187545177</v>
      </c>
      <c r="J27" s="8">
        <v>-0.794353687417975</v>
      </c>
      <c r="K27" s="8">
        <v>0.0905775741171824</v>
      </c>
      <c r="L27" s="10"/>
      <c r="M27" s="10">
        <f t="shared" si="0"/>
        <v>126.28</v>
      </c>
      <c r="N27" s="18">
        <f t="shared" si="1"/>
        <v>65.28</v>
      </c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5"/>
      <c r="Z27" s="15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5"/>
      <c r="AM27" s="15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5"/>
      <c r="AZ27" s="15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5"/>
      <c r="BM27" s="15"/>
      <c r="BN27" s="21"/>
      <c r="BO27" s="16"/>
      <c r="BP27" s="16"/>
      <c r="BQ27" s="16"/>
      <c r="BR27" s="16"/>
      <c r="BS27" s="16"/>
      <c r="BT27" s="16"/>
      <c r="BU27" s="8"/>
      <c r="BV27" s="8"/>
      <c r="BW27" s="8"/>
      <c r="BX27" s="8"/>
      <c r="BY27" s="25"/>
      <c r="BZ27" s="25"/>
      <c r="CA27" s="25"/>
      <c r="CB27" s="25"/>
      <c r="CC27" s="25"/>
      <c r="CD27" s="25"/>
      <c r="CE27" s="25"/>
      <c r="CF27" s="25"/>
      <c r="CG27" s="25"/>
      <c r="CH27" s="25"/>
      <c r="CI27" s="25"/>
      <c r="CJ27" s="25"/>
      <c r="CK27" s="25"/>
      <c r="CL27" s="25"/>
      <c r="CM27" s="25"/>
      <c r="CN27" s="25"/>
      <c r="CO27" s="25"/>
      <c r="CP27" s="25"/>
      <c r="CQ27" s="25"/>
      <c r="CR27" s="25"/>
      <c r="CS27" s="25"/>
      <c r="CT27" s="25"/>
      <c r="CU27" s="25"/>
      <c r="CV27" s="25"/>
      <c r="CW27" s="25"/>
      <c r="CX27" s="25"/>
      <c r="CY27" s="25"/>
      <c r="CZ27" s="25"/>
    </row>
    <row r="28" spans="1:104">
      <c r="A28" s="8" t="s">
        <v>19</v>
      </c>
      <c r="B28" s="8">
        <v>61</v>
      </c>
      <c r="C28" s="8" t="s">
        <v>19</v>
      </c>
      <c r="D28" s="8">
        <v>340</v>
      </c>
      <c r="E28" s="8" t="s">
        <v>20</v>
      </c>
      <c r="F28" s="8">
        <v>169</v>
      </c>
      <c r="G28" s="8" t="s">
        <v>21</v>
      </c>
      <c r="H28" s="8">
        <v>864</v>
      </c>
      <c r="I28" s="8">
        <v>-0.818600885725898</v>
      </c>
      <c r="J28" s="8">
        <v>-0.753893564771067</v>
      </c>
      <c r="K28" s="8">
        <v>0.140626424292444</v>
      </c>
      <c r="L28" s="10"/>
      <c r="M28" s="10">
        <f t="shared" si="0"/>
        <v>149.52</v>
      </c>
      <c r="N28" s="18">
        <f t="shared" si="1"/>
        <v>88.52</v>
      </c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5"/>
      <c r="Z28" s="15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5"/>
      <c r="AM28" s="15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5"/>
      <c r="AZ28" s="15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5"/>
      <c r="BM28" s="15"/>
      <c r="BN28" s="21"/>
      <c r="BO28" s="16"/>
      <c r="BP28" s="16"/>
      <c r="BQ28" s="16"/>
      <c r="BR28" s="16"/>
      <c r="BS28" s="16"/>
      <c r="BT28" s="16"/>
      <c r="BU28" s="8"/>
      <c r="BV28" s="8"/>
      <c r="BW28" s="8"/>
      <c r="BX28" s="8"/>
      <c r="BY28" s="25"/>
      <c r="BZ28" s="25"/>
      <c r="CA28" s="25"/>
      <c r="CB28" s="25"/>
      <c r="CC28" s="25"/>
      <c r="CD28" s="25"/>
      <c r="CE28" s="25"/>
      <c r="CF28" s="25"/>
      <c r="CG28" s="25"/>
      <c r="CH28" s="25"/>
      <c r="CI28" s="25"/>
      <c r="CJ28" s="25"/>
      <c r="CK28" s="25"/>
      <c r="CL28" s="25"/>
      <c r="CM28" s="25"/>
      <c r="CN28" s="25"/>
      <c r="CO28" s="25"/>
      <c r="CP28" s="25"/>
      <c r="CQ28" s="25"/>
      <c r="CR28" s="25"/>
      <c r="CS28" s="25"/>
      <c r="CT28" s="25"/>
      <c r="CU28" s="25"/>
      <c r="CV28" s="25"/>
      <c r="CW28" s="25"/>
      <c r="CX28" s="25"/>
      <c r="CY28" s="25"/>
      <c r="CZ28" s="25"/>
    </row>
    <row r="29" spans="1:104">
      <c r="A29" s="8" t="s">
        <v>19</v>
      </c>
      <c r="B29" s="8">
        <v>61</v>
      </c>
      <c r="C29" s="8" t="s">
        <v>19</v>
      </c>
      <c r="D29" s="8">
        <v>340</v>
      </c>
      <c r="E29" s="8" t="s">
        <v>20</v>
      </c>
      <c r="F29" s="8">
        <v>196</v>
      </c>
      <c r="G29" s="8" t="s">
        <v>21</v>
      </c>
      <c r="H29" s="8">
        <v>1014</v>
      </c>
      <c r="I29" s="8">
        <v>-0.681159207282215</v>
      </c>
      <c r="J29" s="8">
        <v>-0.638046303679625</v>
      </c>
      <c r="K29" s="8">
        <v>0.21818783658703</v>
      </c>
      <c r="L29" s="10"/>
      <c r="M29" s="10">
        <f t="shared" si="0"/>
        <v>176.595</v>
      </c>
      <c r="N29" s="18">
        <f t="shared" si="1"/>
        <v>115.595</v>
      </c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5"/>
      <c r="Z29" s="15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5"/>
      <c r="AM29" s="15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5"/>
      <c r="AZ29" s="15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5"/>
      <c r="BM29" s="15"/>
      <c r="BN29" s="21"/>
      <c r="BO29" s="16"/>
      <c r="BP29" s="16"/>
      <c r="BQ29" s="16"/>
      <c r="BR29" s="16"/>
      <c r="BS29" s="16"/>
      <c r="BT29" s="16"/>
      <c r="BU29" s="8"/>
      <c r="BV29" s="8"/>
      <c r="BW29" s="8"/>
      <c r="BX29" s="8"/>
      <c r="BY29" s="25"/>
      <c r="BZ29" s="25"/>
      <c r="CA29" s="25"/>
      <c r="CB29" s="25"/>
      <c r="CC29" s="25"/>
      <c r="CD29" s="25"/>
      <c r="CE29" s="25"/>
      <c r="CF29" s="25"/>
      <c r="CG29" s="25"/>
      <c r="CH29" s="25"/>
      <c r="CI29" s="25"/>
      <c r="CJ29" s="25"/>
      <c r="CK29" s="25"/>
      <c r="CL29" s="25"/>
      <c r="CM29" s="25"/>
      <c r="CN29" s="25"/>
      <c r="CO29" s="25"/>
      <c r="CP29" s="25"/>
      <c r="CQ29" s="25"/>
      <c r="CR29" s="25"/>
      <c r="CS29" s="25"/>
      <c r="CT29" s="25"/>
      <c r="CU29" s="25"/>
      <c r="CV29" s="25"/>
      <c r="CW29" s="25"/>
      <c r="CX29" s="25"/>
      <c r="CY29" s="25"/>
      <c r="CZ29" s="25"/>
    </row>
    <row r="30" spans="1:104">
      <c r="A30" s="8" t="s">
        <v>19</v>
      </c>
      <c r="B30" s="8">
        <v>61</v>
      </c>
      <c r="C30" s="8" t="s">
        <v>19</v>
      </c>
      <c r="D30" s="8">
        <v>340</v>
      </c>
      <c r="E30" s="8" t="s">
        <v>20</v>
      </c>
      <c r="F30" s="8">
        <v>225</v>
      </c>
      <c r="G30" s="8" t="s">
        <v>21</v>
      </c>
      <c r="H30" s="8">
        <v>1176</v>
      </c>
      <c r="I30" s="8">
        <v>-0.621821667953861</v>
      </c>
      <c r="J30" s="8">
        <v>-0.592355601590362</v>
      </c>
      <c r="K30" s="8">
        <v>0.248452708224491</v>
      </c>
      <c r="L30" s="10"/>
      <c r="M30" s="10">
        <f t="shared" si="0"/>
        <v>203.895</v>
      </c>
      <c r="N30" s="18">
        <f t="shared" si="1"/>
        <v>142.895</v>
      </c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5"/>
      <c r="Z30" s="15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5"/>
      <c r="AM30" s="15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5"/>
      <c r="AZ30" s="15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5"/>
      <c r="BM30" s="15"/>
      <c r="BN30" s="21"/>
      <c r="BO30" s="16"/>
      <c r="BP30" s="16"/>
      <c r="BQ30" s="16"/>
      <c r="BR30" s="16"/>
      <c r="BS30" s="16"/>
      <c r="BT30" s="16"/>
      <c r="BU30" s="8"/>
      <c r="BV30" s="8"/>
      <c r="BW30" s="8"/>
      <c r="BX30" s="8"/>
      <c r="BY30" s="25"/>
      <c r="BZ30" s="25"/>
      <c r="CA30" s="25"/>
      <c r="CB30" s="25"/>
      <c r="CC30" s="25"/>
      <c r="CD30" s="25"/>
      <c r="CE30" s="25"/>
      <c r="CF30" s="25"/>
      <c r="CG30" s="25"/>
      <c r="CH30" s="25"/>
      <c r="CI30" s="25"/>
      <c r="CJ30" s="25"/>
      <c r="CK30" s="25"/>
      <c r="CL30" s="25"/>
      <c r="CM30" s="25"/>
      <c r="CN30" s="25"/>
      <c r="CO30" s="25"/>
      <c r="CP30" s="25"/>
      <c r="CQ30" s="25"/>
      <c r="CR30" s="25"/>
      <c r="CS30" s="25"/>
      <c r="CT30" s="25"/>
      <c r="CU30" s="25"/>
      <c r="CV30" s="25"/>
      <c r="CW30" s="25"/>
      <c r="CX30" s="25"/>
      <c r="CY30" s="25"/>
      <c r="CZ30" s="25"/>
    </row>
    <row r="31" spans="1:104">
      <c r="A31" s="8" t="s">
        <v>19</v>
      </c>
      <c r="B31" s="8">
        <v>61</v>
      </c>
      <c r="C31" s="8" t="s">
        <v>19</v>
      </c>
      <c r="D31" s="8">
        <v>340</v>
      </c>
      <c r="E31" s="8" t="s">
        <v>20</v>
      </c>
      <c r="F31" s="8">
        <v>256</v>
      </c>
      <c r="G31" s="8" t="s">
        <v>21</v>
      </c>
      <c r="H31" s="8">
        <v>1350</v>
      </c>
      <c r="I31" s="8">
        <v>-0.562737194675662</v>
      </c>
      <c r="J31" s="8">
        <v>-0.540818221707966</v>
      </c>
      <c r="K31" s="8">
        <v>0.305525371292972</v>
      </c>
      <c r="L31" s="10"/>
      <c r="M31" s="10">
        <f t="shared" si="0"/>
        <v>233.155</v>
      </c>
      <c r="N31" s="18">
        <f t="shared" si="1"/>
        <v>172.155</v>
      </c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5"/>
      <c r="Z31" s="15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5"/>
      <c r="AM31" s="15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5"/>
      <c r="AZ31" s="15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5"/>
      <c r="BM31" s="15"/>
      <c r="BN31" s="21"/>
      <c r="BO31" s="16"/>
      <c r="BP31" s="16"/>
      <c r="BQ31" s="16"/>
      <c r="BR31" s="16"/>
      <c r="BS31" s="16"/>
      <c r="BT31" s="16"/>
      <c r="BU31" s="8"/>
      <c r="BV31" s="8"/>
      <c r="BW31" s="8"/>
      <c r="BX31" s="8"/>
      <c r="BY31" s="25"/>
      <c r="BZ31" s="25"/>
      <c r="CA31" s="25"/>
      <c r="CB31" s="25"/>
      <c r="CC31" s="25"/>
      <c r="CD31" s="25"/>
      <c r="CE31" s="25"/>
      <c r="CF31" s="25"/>
      <c r="CG31" s="25"/>
      <c r="CH31" s="25"/>
      <c r="CI31" s="25"/>
      <c r="CJ31" s="25"/>
      <c r="CK31" s="25"/>
      <c r="CL31" s="25"/>
      <c r="CM31" s="25"/>
      <c r="CN31" s="25"/>
      <c r="CO31" s="25"/>
      <c r="CP31" s="25"/>
      <c r="CQ31" s="25"/>
      <c r="CR31" s="25"/>
      <c r="CS31" s="25"/>
      <c r="CT31" s="25"/>
      <c r="CU31" s="25"/>
      <c r="CV31" s="25"/>
      <c r="CW31" s="25"/>
      <c r="CX31" s="25"/>
      <c r="CY31" s="25"/>
      <c r="CZ31" s="25"/>
    </row>
    <row r="32" spans="1:104">
      <c r="A32" s="8" t="s">
        <v>19</v>
      </c>
      <c r="B32" s="8">
        <v>61</v>
      </c>
      <c r="C32" s="8" t="s">
        <v>19</v>
      </c>
      <c r="D32" s="8">
        <v>340</v>
      </c>
      <c r="E32" s="8" t="s">
        <v>20</v>
      </c>
      <c r="F32" s="8">
        <v>289</v>
      </c>
      <c r="G32" s="8" t="s">
        <v>21</v>
      </c>
      <c r="H32" s="8">
        <v>1536</v>
      </c>
      <c r="I32" s="8">
        <v>-0.501748813035551</v>
      </c>
      <c r="J32" s="8">
        <v>-0.488933040547472</v>
      </c>
      <c r="K32" s="8">
        <v>0.50573638889508</v>
      </c>
      <c r="L32" s="10"/>
      <c r="M32" s="10">
        <f t="shared" si="0"/>
        <v>264.375</v>
      </c>
      <c r="N32" s="18">
        <f t="shared" si="1"/>
        <v>203.375</v>
      </c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5"/>
      <c r="Z32" s="15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5"/>
      <c r="AM32" s="15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5"/>
      <c r="AZ32" s="15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5"/>
      <c r="BM32" s="15"/>
      <c r="BN32" s="21"/>
      <c r="BO32" s="16"/>
      <c r="BP32" s="16"/>
      <c r="BQ32" s="16"/>
      <c r="BR32" s="16"/>
      <c r="BS32" s="16"/>
      <c r="BT32" s="16"/>
      <c r="BU32" s="8"/>
      <c r="BV32" s="8"/>
      <c r="BW32" s="8"/>
      <c r="BX32" s="8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5"/>
      <c r="CS32" s="25"/>
      <c r="CT32" s="25"/>
      <c r="CU32" s="25"/>
      <c r="CV32" s="25"/>
      <c r="CW32" s="25"/>
      <c r="CX32" s="25"/>
      <c r="CY32" s="25"/>
      <c r="CZ32" s="25"/>
    </row>
    <row r="33" spans="1:104">
      <c r="A33" s="8" t="s">
        <v>19</v>
      </c>
      <c r="B33" s="8">
        <v>61</v>
      </c>
      <c r="C33" s="8" t="s">
        <v>19</v>
      </c>
      <c r="D33" s="8">
        <v>340</v>
      </c>
      <c r="E33" s="8" t="s">
        <v>20</v>
      </c>
      <c r="F33" s="8">
        <v>324</v>
      </c>
      <c r="G33" s="8" t="s">
        <v>21</v>
      </c>
      <c r="H33" s="8">
        <v>1734</v>
      </c>
      <c r="I33" s="8">
        <v>-0.431499600937181</v>
      </c>
      <c r="J33" s="8">
        <v>-0.425933841353064</v>
      </c>
      <c r="K33" s="8">
        <v>1.16903966961007</v>
      </c>
      <c r="L33" s="10"/>
      <c r="M33" s="10">
        <f t="shared" si="0"/>
        <v>297.555</v>
      </c>
      <c r="N33" s="18">
        <f t="shared" si="1"/>
        <v>236.555</v>
      </c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5"/>
      <c r="Z33" s="15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5"/>
      <c r="AM33" s="15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5"/>
      <c r="AZ33" s="15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5"/>
      <c r="BM33" s="15"/>
      <c r="BN33" s="21"/>
      <c r="BO33" s="16"/>
      <c r="BP33" s="16"/>
      <c r="BQ33" s="16"/>
      <c r="BR33" s="16"/>
      <c r="BS33" s="16"/>
      <c r="BT33" s="16"/>
      <c r="BU33" s="8"/>
      <c r="BV33" s="8"/>
      <c r="BW33" s="8"/>
      <c r="BX33" s="8"/>
      <c r="BY33" s="25"/>
      <c r="BZ33" s="25"/>
      <c r="CA33" s="25"/>
      <c r="CB33" s="25"/>
      <c r="CC33" s="25"/>
      <c r="CD33" s="25"/>
      <c r="CE33" s="25"/>
      <c r="CF33" s="25"/>
      <c r="CG33" s="25"/>
      <c r="CH33" s="25"/>
      <c r="CI33" s="25"/>
      <c r="CJ33" s="25"/>
      <c r="CK33" s="25"/>
      <c r="CL33" s="25"/>
      <c r="CM33" s="25"/>
      <c r="CN33" s="25"/>
      <c r="CO33" s="25"/>
      <c r="CP33" s="25"/>
      <c r="CQ33" s="25"/>
      <c r="CR33" s="25"/>
      <c r="CS33" s="25"/>
      <c r="CT33" s="25"/>
      <c r="CU33" s="25"/>
      <c r="CV33" s="25"/>
      <c r="CW33" s="25"/>
      <c r="CX33" s="25"/>
      <c r="CY33" s="25"/>
      <c r="CZ33" s="25"/>
    </row>
    <row r="34" spans="1:104">
      <c r="A34" s="8" t="s">
        <v>19</v>
      </c>
      <c r="B34" s="8">
        <v>61</v>
      </c>
      <c r="C34" s="8" t="s">
        <v>19</v>
      </c>
      <c r="D34" s="8">
        <v>340</v>
      </c>
      <c r="E34" s="8" t="s">
        <v>20</v>
      </c>
      <c r="F34" s="8">
        <v>361</v>
      </c>
      <c r="G34" s="8" t="s">
        <v>21</v>
      </c>
      <c r="H34" s="8">
        <v>1944</v>
      </c>
      <c r="I34" s="8">
        <v>-0.0314583721865243</v>
      </c>
      <c r="J34" s="8">
        <v>-0.0401134966574513</v>
      </c>
      <c r="K34" s="8">
        <v>2.51696263667266</v>
      </c>
      <c r="L34" s="10"/>
      <c r="M34" s="10">
        <f t="shared" si="0"/>
        <v>332.695</v>
      </c>
      <c r="N34" s="18">
        <f t="shared" si="1"/>
        <v>271.695</v>
      </c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5"/>
      <c r="Z34" s="15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5"/>
      <c r="AM34" s="15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5"/>
      <c r="AZ34" s="15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5"/>
      <c r="BM34" s="15"/>
      <c r="BN34" s="21"/>
      <c r="BO34" s="16"/>
      <c r="BP34" s="16"/>
      <c r="BQ34" s="16"/>
      <c r="BR34" s="16"/>
      <c r="BS34" s="16"/>
      <c r="BT34" s="16"/>
      <c r="BU34" s="8"/>
      <c r="BV34" s="8"/>
      <c r="BW34" s="8"/>
      <c r="BX34" s="8"/>
      <c r="BY34" s="25"/>
      <c r="BZ34" s="25"/>
      <c r="CA34" s="25"/>
      <c r="CB34" s="25"/>
      <c r="CC34" s="25"/>
      <c r="CD34" s="25"/>
      <c r="CE34" s="25"/>
      <c r="CF34" s="25"/>
      <c r="CG34" s="25"/>
      <c r="CH34" s="25"/>
      <c r="CI34" s="25"/>
      <c r="CJ34" s="25"/>
      <c r="CK34" s="25"/>
      <c r="CL34" s="25"/>
      <c r="CM34" s="25"/>
      <c r="CN34" s="25"/>
      <c r="CO34" s="25"/>
      <c r="CP34" s="25"/>
      <c r="CQ34" s="25"/>
      <c r="CR34" s="25"/>
      <c r="CS34" s="25"/>
      <c r="CT34" s="25"/>
      <c r="CU34" s="25"/>
      <c r="CV34" s="25"/>
      <c r="CW34" s="25"/>
      <c r="CX34" s="25"/>
      <c r="CY34" s="25"/>
      <c r="CZ34" s="25"/>
    </row>
    <row r="35" spans="1:104">
      <c r="A35" s="8" t="s">
        <v>19</v>
      </c>
      <c r="B35" s="8">
        <v>61</v>
      </c>
      <c r="C35" s="8" t="s">
        <v>19</v>
      </c>
      <c r="D35" s="8">
        <v>340</v>
      </c>
      <c r="E35" s="8" t="s">
        <v>20</v>
      </c>
      <c r="F35" s="8">
        <v>400</v>
      </c>
      <c r="G35" s="8" t="s">
        <v>21</v>
      </c>
      <c r="H35" s="8">
        <v>2166</v>
      </c>
      <c r="I35" s="8">
        <v>-1.25936833392378e-5</v>
      </c>
      <c r="J35" s="8">
        <v>-1.42173331833674e-5</v>
      </c>
      <c r="K35" s="8">
        <v>2.05778202463389</v>
      </c>
      <c r="L35" s="10"/>
      <c r="M35" s="10">
        <f t="shared" si="0"/>
        <v>369.795</v>
      </c>
      <c r="N35" s="18">
        <f t="shared" si="1"/>
        <v>308.795</v>
      </c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5"/>
      <c r="Z35" s="15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5"/>
      <c r="AM35" s="15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5"/>
      <c r="AZ35" s="15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5"/>
      <c r="BM35" s="15"/>
      <c r="BN35" s="21"/>
      <c r="BO35" s="16"/>
      <c r="BP35" s="16"/>
      <c r="BQ35" s="16"/>
      <c r="BR35" s="16"/>
      <c r="BS35" s="16"/>
      <c r="BT35" s="16"/>
      <c r="BU35" s="8"/>
      <c r="BV35" s="8"/>
      <c r="BW35" s="8"/>
      <c r="BX35" s="8"/>
      <c r="BY35" s="25"/>
      <c r="BZ35" s="25"/>
      <c r="CA35" s="25"/>
      <c r="CB35" s="25"/>
      <c r="CC35" s="25"/>
      <c r="CD35" s="25"/>
      <c r="CE35" s="25"/>
      <c r="CF35" s="25"/>
      <c r="CG35" s="25"/>
      <c r="CH35" s="25"/>
      <c r="CI35" s="25"/>
      <c r="CJ35" s="25"/>
      <c r="CK35" s="25"/>
      <c r="CL35" s="25"/>
      <c r="CM35" s="25"/>
      <c r="CN35" s="25"/>
      <c r="CO35" s="25"/>
      <c r="CP35" s="25"/>
      <c r="CQ35" s="25"/>
      <c r="CR35" s="25"/>
      <c r="CS35" s="25"/>
      <c r="CT35" s="25"/>
      <c r="CU35" s="25"/>
      <c r="CV35" s="25"/>
      <c r="CW35" s="25"/>
      <c r="CX35" s="25"/>
      <c r="CY35" s="25"/>
      <c r="CZ35" s="25"/>
    </row>
    <row r="36" spans="1:104">
      <c r="A36" s="8" t="s">
        <v>19</v>
      </c>
      <c r="B36" s="8">
        <v>61</v>
      </c>
      <c r="C36" s="8" t="s">
        <v>19</v>
      </c>
      <c r="D36" s="8">
        <v>340</v>
      </c>
      <c r="E36" s="8" t="s">
        <v>20</v>
      </c>
      <c r="F36" s="8">
        <v>441</v>
      </c>
      <c r="G36" s="8" t="s">
        <v>21</v>
      </c>
      <c r="H36" s="8">
        <v>2400</v>
      </c>
      <c r="I36" s="8">
        <v>-4.75899087332491e-6</v>
      </c>
      <c r="J36" s="8">
        <v>-5.62635134970407e-6</v>
      </c>
      <c r="K36" s="8">
        <v>1.8614907074039</v>
      </c>
      <c r="L36" s="10"/>
      <c r="M36" s="10">
        <f t="shared" si="0"/>
        <v>411.72</v>
      </c>
      <c r="N36" s="18">
        <f t="shared" si="1"/>
        <v>350.72</v>
      </c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5"/>
      <c r="Z36" s="15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5"/>
      <c r="AM36" s="15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5"/>
      <c r="AZ36" s="15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5"/>
      <c r="BM36" s="15"/>
      <c r="BN36" s="21"/>
      <c r="BO36" s="16"/>
      <c r="BP36" s="16"/>
      <c r="BQ36" s="16"/>
      <c r="BR36" s="16"/>
      <c r="BS36" s="16"/>
      <c r="BT36" s="16"/>
      <c r="BU36" s="8"/>
      <c r="BV36" s="8"/>
      <c r="BW36" s="8"/>
      <c r="BX36" s="8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25"/>
      <c r="CK36" s="25"/>
      <c r="CL36" s="25"/>
      <c r="CM36" s="25"/>
      <c r="CN36" s="25"/>
      <c r="CO36" s="25"/>
      <c r="CP36" s="25"/>
      <c r="CQ36" s="25"/>
      <c r="CR36" s="25"/>
      <c r="CS36" s="25"/>
      <c r="CT36" s="25"/>
      <c r="CU36" s="25"/>
      <c r="CV36" s="25"/>
      <c r="CW36" s="25"/>
      <c r="CX36" s="25"/>
      <c r="CY36" s="25"/>
      <c r="CZ36" s="25"/>
    </row>
    <row r="37" ht="23.25" spans="1:104">
      <c r="A37" s="8" t="s">
        <v>19</v>
      </c>
      <c r="B37" s="8">
        <v>61</v>
      </c>
      <c r="C37" s="8" t="s">
        <v>19</v>
      </c>
      <c r="D37" s="8">
        <v>340</v>
      </c>
      <c r="E37" s="8" t="s">
        <v>20</v>
      </c>
      <c r="F37" s="8">
        <v>484</v>
      </c>
      <c r="G37" s="8" t="s">
        <v>21</v>
      </c>
      <c r="H37" s="8">
        <v>2646</v>
      </c>
      <c r="I37" s="8">
        <v>-2.75989471917403e-6</v>
      </c>
      <c r="J37" s="8">
        <v>-3.2802009251829e-6</v>
      </c>
      <c r="K37" s="8">
        <v>1.7464623694743</v>
      </c>
      <c r="L37" s="10"/>
      <c r="M37" s="10">
        <f t="shared" si="0"/>
        <v>452.88</v>
      </c>
      <c r="N37" s="18">
        <f t="shared" si="1"/>
        <v>391.88</v>
      </c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5"/>
      <c r="Z37" s="15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5"/>
      <c r="AM37" s="15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5"/>
      <c r="AZ37" s="15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5"/>
      <c r="BM37" s="15"/>
      <c r="BN37" s="21"/>
      <c r="BO37" s="16"/>
      <c r="BP37" s="16"/>
      <c r="BQ37" s="16"/>
      <c r="BR37" s="16"/>
      <c r="BS37" s="16"/>
      <c r="BT37" s="16"/>
      <c r="BU37" s="8"/>
      <c r="BV37" s="8"/>
      <c r="BW37" s="8"/>
      <c r="BX37" s="8"/>
      <c r="BY37" s="25"/>
      <c r="BZ37" s="25"/>
      <c r="CA37" s="25"/>
      <c r="CB37" s="25"/>
      <c r="CC37" s="25"/>
      <c r="CD37" s="25"/>
      <c r="CE37" s="25"/>
      <c r="CF37" s="25"/>
      <c r="CG37" s="25"/>
      <c r="CH37" s="25"/>
      <c r="CI37" s="25"/>
      <c r="CJ37" s="25"/>
      <c r="CK37" s="25"/>
      <c r="CL37" s="25"/>
      <c r="CM37" s="25"/>
      <c r="CN37" s="25"/>
      <c r="CO37" s="25"/>
      <c r="CP37" s="25"/>
      <c r="CQ37" s="25"/>
      <c r="CR37" s="25"/>
      <c r="CS37" s="25"/>
      <c r="CT37" s="25"/>
      <c r="CU37" s="25"/>
      <c r="CV37" s="25"/>
      <c r="CW37" s="25"/>
      <c r="CX37" s="25"/>
      <c r="CY37" s="25"/>
      <c r="CZ37" s="25"/>
    </row>
    <row r="38" ht="23.25" spans="1:104">
      <c r="A38" s="8" t="s">
        <v>19</v>
      </c>
      <c r="B38" s="8">
        <v>61</v>
      </c>
      <c r="C38" s="8" t="s">
        <v>19</v>
      </c>
      <c r="D38" s="8">
        <v>340</v>
      </c>
      <c r="E38" s="8" t="s">
        <v>20</v>
      </c>
      <c r="F38" s="8">
        <v>529</v>
      </c>
      <c r="G38" s="8" t="s">
        <v>21</v>
      </c>
      <c r="H38" s="8">
        <v>2904</v>
      </c>
      <c r="I38" s="8">
        <v>-3.58392434371057e-6</v>
      </c>
      <c r="J38" s="8">
        <v>-3.60797687852604e-6</v>
      </c>
      <c r="K38" s="8">
        <v>1.73312634787065</v>
      </c>
      <c r="L38" s="10"/>
      <c r="M38" s="10">
        <f t="shared" si="0"/>
        <v>496</v>
      </c>
      <c r="N38" s="18">
        <f t="shared" si="1"/>
        <v>435</v>
      </c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5"/>
      <c r="Z38" s="15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5"/>
      <c r="AM38" s="15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5"/>
      <c r="AZ38" s="15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5"/>
      <c r="BM38" s="15"/>
      <c r="BN38" s="21"/>
      <c r="BO38" s="16"/>
      <c r="BP38" s="16"/>
      <c r="BQ38" s="16"/>
      <c r="BR38" s="16"/>
      <c r="BS38" s="16"/>
      <c r="BT38" s="16"/>
      <c r="BU38" s="8"/>
      <c r="BV38" s="8"/>
      <c r="BW38" s="8"/>
      <c r="BX38" s="8"/>
      <c r="BY38" s="25"/>
      <c r="BZ38" s="25"/>
      <c r="CA38" s="25"/>
      <c r="CB38" s="25"/>
      <c r="CC38" s="25"/>
      <c r="CD38" s="25"/>
      <c r="CE38" s="25"/>
      <c r="CF38" s="25"/>
      <c r="CG38" s="25"/>
      <c r="CH38" s="25"/>
      <c r="CI38" s="25"/>
      <c r="CJ38" s="25"/>
      <c r="CK38" s="25"/>
      <c r="CL38" s="25"/>
      <c r="CM38" s="25"/>
      <c r="CN38" s="25"/>
      <c r="CO38" s="25"/>
      <c r="CP38" s="25"/>
      <c r="CQ38" s="25"/>
      <c r="CR38" s="25"/>
      <c r="CS38" s="25"/>
      <c r="CT38" s="25"/>
      <c r="CU38" s="25"/>
      <c r="CV38" s="25"/>
      <c r="CW38" s="25"/>
      <c r="CX38" s="25"/>
      <c r="CY38" s="25"/>
      <c r="CZ38" s="25"/>
    </row>
    <row r="39" spans="1:104">
      <c r="A39" s="8" t="s">
        <v>19</v>
      </c>
      <c r="B39" s="8">
        <v>61</v>
      </c>
      <c r="C39" s="8" t="s">
        <v>19</v>
      </c>
      <c r="D39" s="8">
        <v>340</v>
      </c>
      <c r="E39" s="8" t="s">
        <v>20</v>
      </c>
      <c r="F39" s="8">
        <v>576</v>
      </c>
      <c r="G39" s="8" t="s">
        <v>21</v>
      </c>
      <c r="H39" s="8">
        <v>3174</v>
      </c>
      <c r="I39" s="8">
        <v>-1.94847487812018e-6</v>
      </c>
      <c r="J39" s="8">
        <v>-2.20798973693654e-6</v>
      </c>
      <c r="K39" s="8">
        <v>1.65076256702468</v>
      </c>
      <c r="L39" s="10"/>
      <c r="M39" s="10">
        <f t="shared" si="0"/>
        <v>541.08</v>
      </c>
      <c r="N39" s="18">
        <f t="shared" si="1"/>
        <v>480.08</v>
      </c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5"/>
      <c r="AM39" s="15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5"/>
      <c r="AZ39" s="15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5"/>
      <c r="BM39" s="15"/>
      <c r="BN39" s="21"/>
      <c r="BO39" s="16"/>
      <c r="BP39" s="16"/>
      <c r="BQ39" s="16"/>
      <c r="BR39" s="16"/>
      <c r="BS39" s="16"/>
      <c r="BT39" s="16"/>
      <c r="BU39" s="8"/>
      <c r="BV39" s="8"/>
      <c r="BW39" s="8"/>
      <c r="BX39" s="8"/>
      <c r="BY39" s="25"/>
      <c r="BZ39" s="25"/>
      <c r="CA39" s="25"/>
      <c r="CB39" s="25"/>
      <c r="CC39" s="25"/>
      <c r="CD39" s="25"/>
      <c r="CE39" s="25"/>
      <c r="CF39" s="25"/>
      <c r="CG39" s="25"/>
      <c r="CH39" s="25"/>
      <c r="CI39" s="25"/>
      <c r="CJ39" s="25"/>
      <c r="CK39" s="25"/>
      <c r="CL39" s="25"/>
      <c r="CM39" s="25"/>
      <c r="CN39" s="25"/>
      <c r="CO39" s="25"/>
      <c r="CP39" s="25"/>
      <c r="CQ39" s="25"/>
      <c r="CR39" s="25"/>
      <c r="CS39" s="25"/>
      <c r="CT39" s="25"/>
      <c r="CU39" s="25"/>
      <c r="CV39" s="25"/>
      <c r="CW39" s="25"/>
      <c r="CX39" s="25"/>
      <c r="CY39" s="25"/>
      <c r="CZ39" s="25"/>
    </row>
    <row r="40" spans="1:104">
      <c r="A40" s="8" t="s">
        <v>19</v>
      </c>
      <c r="B40" s="8">
        <v>61</v>
      </c>
      <c r="C40" s="8" t="s">
        <v>19</v>
      </c>
      <c r="D40" s="8">
        <v>340</v>
      </c>
      <c r="E40" s="8" t="s">
        <v>20</v>
      </c>
      <c r="F40" s="8">
        <v>625</v>
      </c>
      <c r="G40" s="8" t="s">
        <v>21</v>
      </c>
      <c r="H40" s="8">
        <v>3456</v>
      </c>
      <c r="I40" s="8">
        <v>-1.71463150420142e-6</v>
      </c>
      <c r="J40" s="8">
        <v>-1.91289798895691e-6</v>
      </c>
      <c r="K40" s="8">
        <v>1.61567279841597</v>
      </c>
      <c r="L40" s="10"/>
      <c r="M40" s="10">
        <f t="shared" si="0"/>
        <v>588.12</v>
      </c>
      <c r="N40" s="18">
        <f t="shared" si="1"/>
        <v>527.12</v>
      </c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5"/>
      <c r="AM40" s="15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5"/>
      <c r="AZ40" s="15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5"/>
      <c r="BM40" s="15"/>
      <c r="BN40" s="21"/>
      <c r="BO40" s="16"/>
      <c r="BP40" s="16"/>
      <c r="BQ40" s="16"/>
      <c r="BR40" s="16"/>
      <c r="BS40" s="16"/>
      <c r="BT40" s="16"/>
      <c r="BU40" s="8"/>
      <c r="BV40" s="8"/>
      <c r="BW40" s="8"/>
      <c r="BX40" s="8"/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5"/>
      <c r="CK40" s="25"/>
      <c r="CL40" s="25"/>
      <c r="CM40" s="25"/>
      <c r="CN40" s="25"/>
      <c r="CO40" s="25"/>
      <c r="CP40" s="25"/>
      <c r="CQ40" s="25"/>
      <c r="CR40" s="25"/>
      <c r="CS40" s="25"/>
      <c r="CT40" s="25"/>
      <c r="CU40" s="25"/>
      <c r="CV40" s="25"/>
      <c r="CW40" s="25"/>
      <c r="CX40" s="25"/>
      <c r="CY40" s="25"/>
      <c r="CZ40" s="25"/>
    </row>
    <row r="41" spans="1:104">
      <c r="A41" s="8" t="s">
        <v>19</v>
      </c>
      <c r="B41" s="8">
        <v>61</v>
      </c>
      <c r="C41" s="8" t="s">
        <v>19</v>
      </c>
      <c r="D41" s="8">
        <v>340</v>
      </c>
      <c r="E41" s="8" t="s">
        <v>20</v>
      </c>
      <c r="F41" s="8">
        <v>676</v>
      </c>
      <c r="G41" s="8" t="s">
        <v>21</v>
      </c>
      <c r="H41" s="8">
        <v>3750</v>
      </c>
      <c r="I41" s="8">
        <v>-1.68825327928775e-6</v>
      </c>
      <c r="J41" s="8">
        <v>-1.78079306273491e-6</v>
      </c>
      <c r="K41" s="8">
        <v>1.58837929772539</v>
      </c>
      <c r="L41" s="10"/>
      <c r="M41" s="10">
        <f t="shared" si="0"/>
        <v>637.12</v>
      </c>
      <c r="N41" s="18">
        <f t="shared" si="1"/>
        <v>576.12</v>
      </c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5"/>
      <c r="AM41" s="15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5"/>
      <c r="AZ41" s="15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5"/>
      <c r="BM41" s="15"/>
      <c r="BN41" s="21"/>
      <c r="BO41" s="16"/>
      <c r="BP41" s="16"/>
      <c r="BQ41" s="16"/>
      <c r="BR41" s="16"/>
      <c r="BS41" s="16"/>
      <c r="BT41" s="16"/>
      <c r="BU41" s="8"/>
      <c r="BV41" s="8"/>
      <c r="BW41" s="8"/>
      <c r="BX41" s="8"/>
      <c r="BY41" s="25"/>
      <c r="BZ41" s="25"/>
      <c r="CA41" s="25"/>
      <c r="CB41" s="25"/>
      <c r="CC41" s="25"/>
      <c r="CD41" s="25"/>
      <c r="CE41" s="25"/>
      <c r="CF41" s="25"/>
      <c r="CG41" s="25"/>
      <c r="CH41" s="25"/>
      <c r="CI41" s="25"/>
      <c r="CJ41" s="25"/>
      <c r="CK41" s="25"/>
      <c r="CL41" s="25"/>
      <c r="CM41" s="25"/>
      <c r="CN41" s="25"/>
      <c r="CO41" s="25"/>
      <c r="CP41" s="25"/>
      <c r="CQ41" s="25"/>
      <c r="CR41" s="25"/>
      <c r="CS41" s="25"/>
      <c r="CT41" s="25"/>
      <c r="CU41" s="25"/>
      <c r="CV41" s="25"/>
      <c r="CW41" s="25"/>
      <c r="CX41" s="25"/>
      <c r="CY41" s="25"/>
      <c r="CZ41" s="25"/>
    </row>
    <row r="42" spans="1:104">
      <c r="A42" s="8" t="s">
        <v>19</v>
      </c>
      <c r="B42" s="8">
        <v>61</v>
      </c>
      <c r="C42" s="8" t="s">
        <v>19</v>
      </c>
      <c r="D42" s="8">
        <v>340</v>
      </c>
      <c r="E42" s="8" t="s">
        <v>20</v>
      </c>
      <c r="F42" s="8">
        <v>729</v>
      </c>
      <c r="G42" s="8" t="s">
        <v>21</v>
      </c>
      <c r="H42" s="8">
        <v>4056</v>
      </c>
      <c r="I42" s="8">
        <v>-1.47308363926584e-6</v>
      </c>
      <c r="J42" s="8">
        <v>-1.55791177783241e-6</v>
      </c>
      <c r="K42" s="8">
        <v>1.55922966040621</v>
      </c>
      <c r="L42" s="10"/>
      <c r="M42" s="10">
        <f t="shared" si="0"/>
        <v>688.08</v>
      </c>
      <c r="N42" s="18">
        <f t="shared" si="1"/>
        <v>627.08</v>
      </c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5"/>
      <c r="AM42" s="15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5"/>
      <c r="AZ42" s="15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5"/>
      <c r="BM42" s="15"/>
      <c r="BN42" s="21"/>
      <c r="BO42" s="16"/>
      <c r="BP42" s="16"/>
      <c r="BQ42" s="16"/>
      <c r="BR42" s="16"/>
      <c r="BS42" s="16"/>
      <c r="BT42" s="16"/>
      <c r="BU42" s="8"/>
      <c r="BV42" s="8"/>
      <c r="BW42" s="8"/>
      <c r="BX42" s="8"/>
      <c r="BY42" s="25"/>
      <c r="BZ42" s="25"/>
      <c r="CA42" s="25"/>
      <c r="CB42" s="25"/>
      <c r="CC42" s="25"/>
      <c r="CD42" s="25"/>
      <c r="CE42" s="25"/>
      <c r="CF42" s="25"/>
      <c r="CG42" s="25"/>
      <c r="CH42" s="25"/>
      <c r="CI42" s="25"/>
      <c r="CJ42" s="25"/>
      <c r="CK42" s="25"/>
      <c r="CL42" s="25"/>
      <c r="CM42" s="25"/>
      <c r="CN42" s="25"/>
      <c r="CO42" s="25"/>
      <c r="CP42" s="25"/>
      <c r="CQ42" s="25"/>
      <c r="CR42" s="25"/>
      <c r="CS42" s="25"/>
      <c r="CT42" s="25"/>
      <c r="CU42" s="25"/>
      <c r="CV42" s="25"/>
      <c r="CW42" s="25"/>
      <c r="CX42" s="25"/>
      <c r="CY42" s="25"/>
      <c r="CZ42" s="25"/>
    </row>
    <row r="43" ht="23.25" spans="1:104">
      <c r="A43" s="8" t="s">
        <v>19</v>
      </c>
      <c r="B43" s="8">
        <v>61</v>
      </c>
      <c r="C43" s="8" t="s">
        <v>19</v>
      </c>
      <c r="D43" s="8">
        <v>340</v>
      </c>
      <c r="E43" s="8" t="s">
        <v>20</v>
      </c>
      <c r="F43" s="8">
        <v>784</v>
      </c>
      <c r="G43" s="8" t="s">
        <v>21</v>
      </c>
      <c r="H43" s="8">
        <v>4374</v>
      </c>
      <c r="I43" s="8">
        <v>-1.38579937025961e-6</v>
      </c>
      <c r="J43" s="8">
        <v>-1.45072060839832e-6</v>
      </c>
      <c r="K43" s="8">
        <v>1.54169676342472</v>
      </c>
      <c r="L43" s="10"/>
      <c r="M43" s="10">
        <f t="shared" si="0"/>
        <v>744.855</v>
      </c>
      <c r="N43" s="18">
        <f t="shared" si="1"/>
        <v>683.855</v>
      </c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5"/>
      <c r="AM43" s="15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5"/>
      <c r="AZ43" s="15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5"/>
      <c r="BM43" s="15"/>
      <c r="BN43" s="21"/>
      <c r="BO43" s="16"/>
      <c r="BP43" s="16"/>
      <c r="BQ43" s="16"/>
      <c r="BR43" s="16"/>
      <c r="BS43" s="16"/>
      <c r="BT43" s="16"/>
      <c r="BU43" s="8"/>
      <c r="BV43" s="8"/>
      <c r="BW43" s="8"/>
      <c r="BX43" s="8"/>
      <c r="BY43" s="25"/>
      <c r="BZ43" s="25"/>
      <c r="CA43" s="25"/>
      <c r="CB43" s="25"/>
      <c r="CC43" s="25"/>
      <c r="CD43" s="25"/>
      <c r="CE43" s="25"/>
      <c r="CF43" s="25"/>
      <c r="CG43" s="25"/>
      <c r="CH43" s="25"/>
      <c r="CI43" s="25"/>
      <c r="CJ43" s="25"/>
      <c r="CK43" s="25"/>
      <c r="CL43" s="25"/>
      <c r="CM43" s="25"/>
      <c r="CN43" s="25"/>
      <c r="CO43" s="25"/>
      <c r="CP43" s="25"/>
      <c r="CQ43" s="25"/>
      <c r="CR43" s="25"/>
      <c r="CS43" s="25"/>
      <c r="CT43" s="25"/>
      <c r="CU43" s="25"/>
      <c r="CV43" s="25"/>
      <c r="CW43" s="25"/>
      <c r="CX43" s="25"/>
      <c r="CY43" s="25"/>
      <c r="CZ43" s="25"/>
    </row>
    <row r="44" ht="23.25" spans="1:104">
      <c r="A44" s="8" t="s">
        <v>19</v>
      </c>
      <c r="B44" s="8">
        <v>61</v>
      </c>
      <c r="C44" s="8" t="s">
        <v>19</v>
      </c>
      <c r="D44" s="8">
        <v>340</v>
      </c>
      <c r="E44" s="8" t="s">
        <v>20</v>
      </c>
      <c r="F44" s="8">
        <v>841</v>
      </c>
      <c r="G44" s="8" t="s">
        <v>21</v>
      </c>
      <c r="H44" s="8">
        <v>4704</v>
      </c>
      <c r="I44" s="8">
        <v>-1.40557616564895e-6</v>
      </c>
      <c r="J44" s="8">
        <v>-1.43540372294149e-6</v>
      </c>
      <c r="K44" s="8">
        <v>1.53363770313108</v>
      </c>
      <c r="L44" s="10"/>
      <c r="M44" s="10">
        <f t="shared" si="0"/>
        <v>799.875</v>
      </c>
      <c r="N44" s="18">
        <f t="shared" si="1"/>
        <v>738.875</v>
      </c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5"/>
      <c r="AM44" s="15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5"/>
      <c r="AZ44" s="15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5"/>
      <c r="BM44" s="15"/>
      <c r="BN44" s="21"/>
      <c r="BO44" s="16"/>
      <c r="BP44" s="16"/>
      <c r="BQ44" s="16"/>
      <c r="BR44" s="16"/>
      <c r="BS44" s="16"/>
      <c r="BT44" s="16"/>
      <c r="BU44" s="8"/>
      <c r="BV44" s="8"/>
      <c r="BW44" s="8"/>
      <c r="BX44" s="8"/>
      <c r="BY44" s="25"/>
      <c r="BZ44" s="25"/>
      <c r="CA44" s="25"/>
      <c r="CB44" s="25"/>
      <c r="CC44" s="25"/>
      <c r="CD44" s="25"/>
      <c r="CE44" s="25"/>
      <c r="CF44" s="25"/>
      <c r="CG44" s="25"/>
      <c r="CH44" s="25"/>
      <c r="CI44" s="25"/>
      <c r="CJ44" s="25"/>
      <c r="CK44" s="25"/>
      <c r="CL44" s="25"/>
      <c r="CM44" s="25"/>
      <c r="CN44" s="25"/>
      <c r="CO44" s="25"/>
      <c r="CP44" s="25"/>
      <c r="CQ44" s="25"/>
      <c r="CR44" s="25"/>
      <c r="CS44" s="25"/>
      <c r="CT44" s="25"/>
      <c r="CU44" s="25"/>
      <c r="CV44" s="25"/>
      <c r="CW44" s="25"/>
      <c r="CX44" s="25"/>
      <c r="CY44" s="25"/>
      <c r="CZ44" s="25"/>
    </row>
    <row r="45" spans="1:104">
      <c r="A45" s="8" t="s">
        <v>19</v>
      </c>
      <c r="B45" s="8">
        <v>61</v>
      </c>
      <c r="C45" s="8" t="s">
        <v>19</v>
      </c>
      <c r="D45" s="8">
        <v>340</v>
      </c>
      <c r="E45" s="8" t="s">
        <v>20</v>
      </c>
      <c r="F45" s="8">
        <v>900</v>
      </c>
      <c r="G45" s="8" t="s">
        <v>21</v>
      </c>
      <c r="H45" s="8">
        <v>5046</v>
      </c>
      <c r="I45" s="8">
        <v>-1.23383872225857e-6</v>
      </c>
      <c r="J45" s="8">
        <v>-1.28596237753401e-6</v>
      </c>
      <c r="K45" s="8">
        <v>1.51473601089667</v>
      </c>
      <c r="L45" s="10"/>
      <c r="M45" s="10">
        <f t="shared" si="0"/>
        <v>856.855</v>
      </c>
      <c r="N45" s="18">
        <f t="shared" si="1"/>
        <v>795.855</v>
      </c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5"/>
      <c r="AZ45" s="15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5"/>
      <c r="BM45" s="15"/>
      <c r="BN45" s="21"/>
      <c r="BO45" s="16"/>
      <c r="BP45" s="16"/>
      <c r="BQ45" s="16"/>
      <c r="BR45" s="16"/>
      <c r="BS45" s="16"/>
      <c r="BT45" s="16"/>
      <c r="BU45" s="8"/>
      <c r="BV45" s="8"/>
      <c r="BW45" s="8"/>
      <c r="BX45" s="8"/>
      <c r="BY45" s="25"/>
      <c r="BZ45" s="25"/>
      <c r="CA45" s="25"/>
      <c r="CB45" s="25"/>
      <c r="CC45" s="25"/>
      <c r="CD45" s="25"/>
      <c r="CE45" s="25"/>
      <c r="CF45" s="25"/>
      <c r="CG45" s="25"/>
      <c r="CH45" s="25"/>
      <c r="CI45" s="25"/>
      <c r="CJ45" s="25"/>
      <c r="CK45" s="25"/>
      <c r="CL45" s="25"/>
      <c r="CM45" s="25"/>
      <c r="CN45" s="25"/>
      <c r="CO45" s="25"/>
      <c r="CP45" s="25"/>
      <c r="CQ45" s="25"/>
      <c r="CR45" s="25"/>
      <c r="CS45" s="25"/>
      <c r="CT45" s="25"/>
      <c r="CU45" s="25"/>
      <c r="CV45" s="25"/>
      <c r="CW45" s="25"/>
      <c r="CX45" s="25"/>
      <c r="CY45" s="25"/>
      <c r="CZ45" s="25"/>
    </row>
    <row r="46" ht="23.25" spans="1:104">
      <c r="A46" s="8" t="s">
        <v>19</v>
      </c>
      <c r="B46" s="8">
        <v>61</v>
      </c>
      <c r="C46" s="8" t="s">
        <v>19</v>
      </c>
      <c r="D46" s="8">
        <v>340</v>
      </c>
      <c r="E46" s="8" t="s">
        <v>20</v>
      </c>
      <c r="F46" s="8">
        <v>961</v>
      </c>
      <c r="G46" s="8" t="s">
        <v>21</v>
      </c>
      <c r="H46" s="8">
        <v>5400</v>
      </c>
      <c r="I46" s="8">
        <v>-1.22412524580293e-6</v>
      </c>
      <c r="J46" s="8">
        <v>-1.27108926880033e-6</v>
      </c>
      <c r="K46" s="8">
        <v>1.5109975411</v>
      </c>
      <c r="L46" s="10"/>
      <c r="M46" s="10">
        <f t="shared" si="0"/>
        <v>915.795</v>
      </c>
      <c r="N46" s="18">
        <f t="shared" si="1"/>
        <v>854.795</v>
      </c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5"/>
      <c r="AM46" s="15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5"/>
      <c r="AZ46" s="15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5"/>
      <c r="BM46" s="15"/>
      <c r="BN46" s="21"/>
      <c r="BO46" s="16"/>
      <c r="BP46" s="16"/>
      <c r="BQ46" s="16"/>
      <c r="BR46" s="16"/>
      <c r="BS46" s="16"/>
      <c r="BT46" s="16"/>
      <c r="BU46" s="8"/>
      <c r="BV46" s="8"/>
      <c r="BW46" s="8"/>
      <c r="BX46" s="8"/>
      <c r="BY46" s="25"/>
      <c r="BZ46" s="25"/>
      <c r="CA46" s="25"/>
      <c r="CB46" s="25"/>
      <c r="CC46" s="25"/>
      <c r="CD46" s="25"/>
      <c r="CE46" s="25"/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</row>
    <row r="47" ht="23.25" spans="1:104">
      <c r="A47" s="8" t="s">
        <v>19</v>
      </c>
      <c r="B47" s="8">
        <v>61</v>
      </c>
      <c r="C47" s="8" t="s">
        <v>19</v>
      </c>
      <c r="D47" s="8">
        <v>340</v>
      </c>
      <c r="E47" s="8" t="s">
        <v>20</v>
      </c>
      <c r="F47" s="8">
        <v>1024</v>
      </c>
      <c r="G47" s="8" t="s">
        <v>21</v>
      </c>
      <c r="H47" s="8">
        <v>5766</v>
      </c>
      <c r="I47" s="8">
        <v>-1.18451646913309e-6</v>
      </c>
      <c r="J47" s="8">
        <v>-1.2210809432711e-6</v>
      </c>
      <c r="K47" s="8">
        <v>1.50081167826258</v>
      </c>
      <c r="L47" s="10"/>
      <c r="M47" s="10">
        <f t="shared" si="0"/>
        <v>976.695</v>
      </c>
      <c r="N47" s="18">
        <f t="shared" si="1"/>
        <v>915.695</v>
      </c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5"/>
      <c r="AM47" s="15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5"/>
      <c r="AZ47" s="15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5"/>
      <c r="BM47" s="15"/>
      <c r="BN47" s="21"/>
      <c r="BO47" s="16"/>
      <c r="BP47" s="16"/>
      <c r="BQ47" s="16"/>
      <c r="BR47" s="16"/>
      <c r="BS47" s="16"/>
      <c r="BT47" s="16"/>
      <c r="BU47" s="8"/>
      <c r="BV47" s="8"/>
      <c r="BW47" s="8"/>
      <c r="BX47" s="8"/>
      <c r="BY47" s="25"/>
      <c r="BZ47" s="25"/>
      <c r="CA47" s="25"/>
      <c r="CB47" s="25"/>
      <c r="CC47" s="25"/>
      <c r="CD47" s="25"/>
      <c r="CE47" s="25"/>
      <c r="CF47" s="25"/>
      <c r="CG47" s="25"/>
      <c r="CH47" s="25"/>
      <c r="CI47" s="25"/>
      <c r="CJ47" s="25"/>
      <c r="CK47" s="25"/>
      <c r="CL47" s="25"/>
      <c r="CM47" s="25"/>
      <c r="CN47" s="25"/>
      <c r="CO47" s="25"/>
      <c r="CP47" s="25"/>
      <c r="CQ47" s="25"/>
      <c r="CR47" s="25"/>
      <c r="CS47" s="25"/>
      <c r="CT47" s="25"/>
      <c r="CU47" s="25"/>
      <c r="CV47" s="25"/>
      <c r="CW47" s="25"/>
      <c r="CX47" s="25"/>
      <c r="CY47" s="25"/>
      <c r="CZ47" s="25"/>
    </row>
    <row r="48" spans="1:104">
      <c r="A48" s="8" t="s">
        <v>19</v>
      </c>
      <c r="B48" s="8">
        <v>61</v>
      </c>
      <c r="C48" s="8" t="s">
        <v>19</v>
      </c>
      <c r="D48" s="8">
        <v>340</v>
      </c>
      <c r="E48" s="8" t="s">
        <v>20</v>
      </c>
      <c r="F48" s="8">
        <v>1089</v>
      </c>
      <c r="G48" s="8" t="s">
        <v>21</v>
      </c>
      <c r="H48" s="8">
        <v>6144</v>
      </c>
      <c r="I48" s="8">
        <v>-1.12076032534705e-6</v>
      </c>
      <c r="J48" s="8">
        <v>-1.16182774327429e-6</v>
      </c>
      <c r="K48" s="8">
        <v>1.49138325853958</v>
      </c>
      <c r="L48" s="10"/>
      <c r="M48" s="10">
        <f t="shared" si="0"/>
        <v>1039.555</v>
      </c>
      <c r="N48" s="18">
        <f t="shared" si="1"/>
        <v>978.555</v>
      </c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5"/>
      <c r="BM48" s="15"/>
      <c r="BN48" s="21"/>
      <c r="BO48" s="16"/>
      <c r="BP48" s="16"/>
      <c r="BQ48" s="16"/>
      <c r="BR48" s="16"/>
      <c r="BS48" s="16"/>
      <c r="BT48" s="16"/>
      <c r="BU48" s="8"/>
      <c r="BV48" s="8"/>
      <c r="BW48" s="8"/>
      <c r="BX48" s="8"/>
      <c r="BY48" s="25"/>
      <c r="BZ48" s="25"/>
      <c r="CA48" s="25"/>
      <c r="CB48" s="25"/>
      <c r="CC48" s="25"/>
      <c r="CD48" s="25"/>
      <c r="CE48" s="25"/>
      <c r="CF48" s="25"/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25"/>
    </row>
    <row r="49" ht="23.25" spans="1:104">
      <c r="A49" s="7" t="s">
        <v>22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10"/>
      <c r="M49" s="10"/>
      <c r="N49" s="18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5"/>
      <c r="AM49" s="15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5"/>
      <c r="AZ49" s="15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15"/>
      <c r="BM49" s="15"/>
      <c r="BN49" s="21"/>
      <c r="BO49" s="14"/>
      <c r="BP49" s="14"/>
      <c r="BQ49" s="14"/>
      <c r="BR49" s="14"/>
      <c r="BS49" s="14"/>
      <c r="BT49" s="14"/>
      <c r="BU49" s="24"/>
      <c r="BV49" s="24"/>
      <c r="BW49" s="24"/>
      <c r="BX49" s="24"/>
      <c r="BY49" s="25"/>
      <c r="BZ49" s="25"/>
      <c r="CA49" s="25"/>
      <c r="CB49" s="25"/>
      <c r="CC49" s="25"/>
      <c r="CD49" s="25"/>
      <c r="CE49" s="25"/>
      <c r="CF49" s="25"/>
      <c r="CG49" s="25"/>
      <c r="CH49" s="25"/>
      <c r="CI49" s="25"/>
      <c r="CJ49" s="25"/>
      <c r="CK49" s="25"/>
      <c r="CL49" s="25"/>
      <c r="CM49" s="25"/>
      <c r="CN49" s="25"/>
      <c r="CO49" s="25"/>
      <c r="CP49" s="25"/>
      <c r="CQ49" s="25"/>
      <c r="CR49" s="25"/>
      <c r="CS49" s="25"/>
      <c r="CT49" s="25"/>
      <c r="CU49" s="25"/>
      <c r="CV49" s="25"/>
      <c r="CW49" s="25"/>
      <c r="CX49" s="25"/>
      <c r="CY49" s="25"/>
      <c r="CZ49" s="25"/>
    </row>
    <row r="50" ht="23.25" spans="1:104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10"/>
      <c r="M50" s="10"/>
      <c r="N50" s="18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5"/>
      <c r="AM50" s="15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5"/>
      <c r="AZ50" s="15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15"/>
      <c r="BM50" s="15"/>
      <c r="BN50" s="21"/>
      <c r="BO50" s="14"/>
      <c r="BP50" s="14"/>
      <c r="BQ50" s="14"/>
      <c r="BR50" s="14"/>
      <c r="BS50" s="14"/>
      <c r="BT50" s="14"/>
      <c r="BU50" s="24"/>
      <c r="BV50" s="24"/>
      <c r="BW50" s="24"/>
      <c r="BX50" s="24"/>
      <c r="BY50" s="25"/>
      <c r="BZ50" s="25"/>
      <c r="CA50" s="25"/>
      <c r="CB50" s="25"/>
      <c r="CC50" s="25"/>
      <c r="CD50" s="25"/>
      <c r="CE50" s="25"/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</row>
    <row r="51" spans="1:104">
      <c r="A51" s="8" t="s">
        <v>7</v>
      </c>
      <c r="B51" s="8" t="s">
        <v>8</v>
      </c>
      <c r="C51" s="8" t="s">
        <v>9</v>
      </c>
      <c r="D51" s="8" t="s">
        <v>10</v>
      </c>
      <c r="E51" s="8" t="s">
        <v>11</v>
      </c>
      <c r="F51" s="8" t="s">
        <v>12</v>
      </c>
      <c r="G51" s="8" t="s">
        <v>13</v>
      </c>
      <c r="H51" s="8" t="s">
        <v>14</v>
      </c>
      <c r="I51" s="8" t="s">
        <v>15</v>
      </c>
      <c r="J51" s="8" t="s">
        <v>16</v>
      </c>
      <c r="K51" s="8" t="s">
        <v>17</v>
      </c>
      <c r="L51" s="10"/>
      <c r="M51" s="10"/>
      <c r="N51" s="18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5"/>
      <c r="AM51" s="15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5"/>
      <c r="AZ51" s="15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5"/>
      <c r="BM51" s="15"/>
      <c r="BN51" s="21"/>
      <c r="BO51" s="15"/>
      <c r="BP51" s="15"/>
      <c r="BQ51" s="15"/>
      <c r="BR51" s="15"/>
      <c r="BS51" s="15"/>
      <c r="BT51" s="15"/>
      <c r="BU51" s="10"/>
      <c r="BV51" s="10"/>
      <c r="BW51" s="10"/>
      <c r="BX51" s="10"/>
      <c r="BY51" s="25"/>
      <c r="BZ51" s="25"/>
      <c r="CA51" s="25"/>
      <c r="CB51" s="25"/>
      <c r="CC51" s="25"/>
      <c r="CD51" s="25"/>
      <c r="CE51" s="25"/>
      <c r="CF51" s="25"/>
      <c r="CG51" s="25"/>
      <c r="CH51" s="25"/>
      <c r="CI51" s="25"/>
      <c r="CJ51" s="25"/>
      <c r="CK51" s="25"/>
      <c r="CL51" s="25"/>
      <c r="CM51" s="25"/>
      <c r="CN51" s="25"/>
      <c r="CO51" s="25"/>
      <c r="CP51" s="25"/>
      <c r="CQ51" s="25"/>
      <c r="CR51" s="25"/>
      <c r="CS51" s="25"/>
      <c r="CT51" s="25"/>
      <c r="CU51" s="25"/>
      <c r="CV51" s="25"/>
      <c r="CW51" s="25"/>
      <c r="CX51" s="25"/>
      <c r="CY51" s="25"/>
      <c r="CZ51" s="25"/>
    </row>
    <row r="52" spans="1:104">
      <c r="A52" s="8" t="s">
        <v>19</v>
      </c>
      <c r="B52" s="8">
        <v>71</v>
      </c>
      <c r="C52" s="8" t="s">
        <v>19</v>
      </c>
      <c r="D52" s="8">
        <v>340</v>
      </c>
      <c r="E52" s="8" t="s">
        <v>20</v>
      </c>
      <c r="F52" s="8">
        <v>64</v>
      </c>
      <c r="G52" s="8" t="s">
        <v>21</v>
      </c>
      <c r="H52" s="8">
        <v>294</v>
      </c>
      <c r="I52" s="8">
        <v>2.35034160220424</v>
      </c>
      <c r="J52" s="8">
        <v>3.4714343120827</v>
      </c>
      <c r="K52" s="8">
        <v>0.573627042490918</v>
      </c>
      <c r="L52" s="10"/>
      <c r="M52" s="10">
        <f t="shared" ref="M52:M77" si="2">(FLOOR(((SQRT(1+8*F52)-3))/2,0.1)*(FLOOR(((SQRT(1+8*F52)-3))/2,0.1)+1))/2</f>
        <v>52.92</v>
      </c>
      <c r="N52" s="18">
        <f t="shared" ref="N52:N77" si="3">ABS(B52-M52)</f>
        <v>18.08</v>
      </c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5"/>
      <c r="AM52" s="15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5"/>
      <c r="AZ52" s="15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5"/>
      <c r="BM52" s="15"/>
      <c r="BN52" s="21"/>
      <c r="BO52" s="16"/>
      <c r="BP52" s="16"/>
      <c r="BQ52" s="16"/>
      <c r="BR52" s="16"/>
      <c r="BS52" s="16"/>
      <c r="BT52" s="16"/>
      <c r="BU52" s="8"/>
      <c r="BV52" s="8"/>
      <c r="BW52" s="8"/>
      <c r="BX52" s="8"/>
      <c r="BY52" s="25"/>
      <c r="BZ52" s="25"/>
      <c r="CA52" s="25"/>
      <c r="CB52" s="25"/>
      <c r="CC52" s="25"/>
      <c r="CD52" s="25"/>
      <c r="CE52" s="25"/>
      <c r="CF52" s="25"/>
      <c r="CG52" s="25"/>
      <c r="CH52" s="25"/>
      <c r="CI52" s="25"/>
      <c r="CJ52" s="25"/>
      <c r="CK52" s="25"/>
      <c r="CL52" s="25"/>
      <c r="CM52" s="25"/>
      <c r="CN52" s="25"/>
      <c r="CO52" s="25"/>
      <c r="CP52" s="25"/>
      <c r="CQ52" s="25"/>
      <c r="CR52" s="25"/>
      <c r="CS52" s="25"/>
      <c r="CT52" s="25"/>
      <c r="CU52" s="25"/>
      <c r="CV52" s="25"/>
      <c r="CW52" s="25"/>
      <c r="CX52" s="25"/>
      <c r="CY52" s="25"/>
      <c r="CZ52" s="25"/>
    </row>
    <row r="53" spans="1:104">
      <c r="A53" s="9" t="s">
        <v>19</v>
      </c>
      <c r="B53" s="9">
        <v>71</v>
      </c>
      <c r="C53" s="9" t="s">
        <v>19</v>
      </c>
      <c r="D53" s="9">
        <v>340</v>
      </c>
      <c r="E53" s="9" t="s">
        <v>20</v>
      </c>
      <c r="F53" s="9">
        <v>81</v>
      </c>
      <c r="G53" s="9" t="s">
        <v>21</v>
      </c>
      <c r="H53" s="9">
        <v>384</v>
      </c>
      <c r="I53" s="9">
        <v>-0.884163016873086</v>
      </c>
      <c r="J53" s="9">
        <v>-0.286001105495861</v>
      </c>
      <c r="K53" s="9">
        <v>-0.444065070668442</v>
      </c>
      <c r="L53" s="11"/>
      <c r="M53" s="11">
        <f t="shared" si="2"/>
        <v>68.32</v>
      </c>
      <c r="N53" s="18">
        <f t="shared" si="3"/>
        <v>2.67999999999999</v>
      </c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5"/>
      <c r="AM53" s="15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5"/>
      <c r="AZ53" s="15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2"/>
      <c r="BM53" s="22"/>
      <c r="BN53" s="21"/>
      <c r="BO53" s="16"/>
      <c r="BP53" s="16"/>
      <c r="BQ53" s="16"/>
      <c r="BR53" s="16"/>
      <c r="BS53" s="16"/>
      <c r="BT53" s="16"/>
      <c r="BU53" s="8"/>
      <c r="BV53" s="8"/>
      <c r="BW53" s="8"/>
      <c r="BX53" s="8"/>
      <c r="BY53" s="25"/>
      <c r="BZ53" s="25"/>
      <c r="CA53" s="25"/>
      <c r="CB53" s="25"/>
      <c r="CC53" s="25"/>
      <c r="CD53" s="25"/>
      <c r="CE53" s="25"/>
      <c r="CF53" s="25"/>
      <c r="CG53" s="25"/>
      <c r="CH53" s="25"/>
      <c r="CI53" s="25"/>
      <c r="CJ53" s="25"/>
      <c r="CK53" s="25"/>
      <c r="CL53" s="25"/>
      <c r="CM53" s="25"/>
      <c r="CN53" s="25"/>
      <c r="CO53" s="25"/>
      <c r="CP53" s="25"/>
      <c r="CQ53" s="25"/>
      <c r="CR53" s="25"/>
      <c r="CS53" s="25"/>
      <c r="CT53" s="25"/>
      <c r="CU53" s="25"/>
      <c r="CV53" s="25"/>
      <c r="CW53" s="25"/>
      <c r="CX53" s="25"/>
      <c r="CY53" s="25"/>
      <c r="CZ53" s="25"/>
    </row>
    <row r="54" spans="1:104">
      <c r="A54" s="8" t="s">
        <v>19</v>
      </c>
      <c r="B54" s="8">
        <v>71</v>
      </c>
      <c r="C54" s="8" t="s">
        <v>19</v>
      </c>
      <c r="D54" s="8">
        <v>340</v>
      </c>
      <c r="E54" s="8" t="s">
        <v>20</v>
      </c>
      <c r="F54" s="8">
        <v>100</v>
      </c>
      <c r="G54" s="8" t="s">
        <v>21</v>
      </c>
      <c r="H54" s="8">
        <v>486</v>
      </c>
      <c r="I54" s="8">
        <v>-1.22449423337909</v>
      </c>
      <c r="J54" s="8">
        <v>-0.960021408447079</v>
      </c>
      <c r="K54" s="8">
        <v>-0.10287891602429</v>
      </c>
      <c r="L54" s="10"/>
      <c r="M54" s="10">
        <f t="shared" si="2"/>
        <v>85.68</v>
      </c>
      <c r="N54" s="18">
        <f t="shared" si="3"/>
        <v>14.68</v>
      </c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5"/>
      <c r="AM54" s="15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5"/>
      <c r="AZ54" s="15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5"/>
      <c r="BM54" s="15"/>
      <c r="BN54" s="21"/>
      <c r="BO54" s="16"/>
      <c r="BP54" s="16"/>
      <c r="BQ54" s="16"/>
      <c r="BR54" s="16"/>
      <c r="BS54" s="16"/>
      <c r="BT54" s="16"/>
      <c r="BU54" s="8"/>
      <c r="BV54" s="8"/>
      <c r="BW54" s="8"/>
      <c r="BX54" s="8"/>
      <c r="BY54" s="25"/>
      <c r="BZ54" s="25"/>
      <c r="CA54" s="25"/>
      <c r="CB54" s="25"/>
      <c r="CC54" s="25"/>
      <c r="CD54" s="25"/>
      <c r="CE54" s="25"/>
      <c r="CF54" s="25"/>
      <c r="CG54" s="25"/>
      <c r="CH54" s="25"/>
      <c r="CI54" s="25"/>
      <c r="CJ54" s="25"/>
      <c r="CK54" s="25"/>
      <c r="CL54" s="25"/>
      <c r="CM54" s="25"/>
      <c r="CN54" s="25"/>
      <c r="CO54" s="25"/>
      <c r="CP54" s="25"/>
      <c r="CQ54" s="25"/>
      <c r="CR54" s="25"/>
      <c r="CS54" s="25"/>
      <c r="CT54" s="25"/>
      <c r="CU54" s="25"/>
      <c r="CV54" s="25"/>
      <c r="CW54" s="25"/>
      <c r="CX54" s="25"/>
      <c r="CY54" s="25"/>
      <c r="CZ54" s="25"/>
    </row>
    <row r="55" ht="23.25" spans="1:104">
      <c r="A55" s="8" t="s">
        <v>19</v>
      </c>
      <c r="B55" s="8">
        <v>71</v>
      </c>
      <c r="C55" s="8" t="s">
        <v>19</v>
      </c>
      <c r="D55" s="8">
        <v>340</v>
      </c>
      <c r="E55" s="8" t="s">
        <v>20</v>
      </c>
      <c r="F55" s="8">
        <v>121</v>
      </c>
      <c r="G55" s="8" t="s">
        <v>21</v>
      </c>
      <c r="H55" s="8">
        <v>600</v>
      </c>
      <c r="I55" s="8">
        <v>-1.13800382345146</v>
      </c>
      <c r="J55" s="8">
        <v>-0.934124612302101</v>
      </c>
      <c r="K55" s="8">
        <v>-0.0282983927341181</v>
      </c>
      <c r="L55" s="10"/>
      <c r="M55" s="10">
        <f t="shared" si="2"/>
        <v>105</v>
      </c>
      <c r="N55" s="18">
        <f t="shared" si="3"/>
        <v>34</v>
      </c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5"/>
      <c r="Z55" s="15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5"/>
      <c r="AM55" s="15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5"/>
      <c r="AZ55" s="15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5"/>
      <c r="BM55" s="15"/>
      <c r="BN55" s="21"/>
      <c r="BO55" s="16"/>
      <c r="BP55" s="16"/>
      <c r="BQ55" s="16"/>
      <c r="BR55" s="16"/>
      <c r="BS55" s="16"/>
      <c r="BT55" s="16"/>
      <c r="BU55" s="8"/>
      <c r="BV55" s="8"/>
      <c r="BW55" s="8"/>
      <c r="BX55" s="8"/>
      <c r="BY55" s="25"/>
      <c r="BZ55" s="25"/>
      <c r="CA55" s="25"/>
      <c r="CB55" s="25"/>
      <c r="CC55" s="25"/>
      <c r="CD55" s="25"/>
      <c r="CE55" s="25"/>
      <c r="CF55" s="25"/>
      <c r="CG55" s="25"/>
      <c r="CH55" s="25"/>
      <c r="CI55" s="25"/>
      <c r="CJ55" s="25"/>
      <c r="CK55" s="25"/>
      <c r="CL55" s="25"/>
      <c r="CM55" s="25"/>
      <c r="CN55" s="25"/>
      <c r="CO55" s="25"/>
      <c r="CP55" s="25"/>
      <c r="CQ55" s="25"/>
      <c r="CR55" s="25"/>
      <c r="CS55" s="25"/>
      <c r="CT55" s="25"/>
      <c r="CU55" s="25"/>
      <c r="CV55" s="25"/>
      <c r="CW55" s="25"/>
      <c r="CX55" s="25"/>
      <c r="CY55" s="25"/>
      <c r="CZ55" s="25"/>
    </row>
    <row r="56" ht="23.25" spans="1:104">
      <c r="A56" s="8" t="s">
        <v>19</v>
      </c>
      <c r="B56" s="8">
        <v>71</v>
      </c>
      <c r="C56" s="8" t="s">
        <v>19</v>
      </c>
      <c r="D56" s="8">
        <v>340</v>
      </c>
      <c r="E56" s="8" t="s">
        <v>20</v>
      </c>
      <c r="F56" s="8">
        <v>144</v>
      </c>
      <c r="G56" s="8" t="s">
        <v>21</v>
      </c>
      <c r="H56" s="8">
        <v>726</v>
      </c>
      <c r="I56" s="8">
        <v>-0.855289762731782</v>
      </c>
      <c r="J56" s="8">
        <v>-0.752169740645074</v>
      </c>
      <c r="K56" s="8">
        <v>0.100725564892518</v>
      </c>
      <c r="L56" s="10"/>
      <c r="M56" s="10">
        <f t="shared" si="2"/>
        <v>126.28</v>
      </c>
      <c r="N56" s="18">
        <f t="shared" si="3"/>
        <v>55.28</v>
      </c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5"/>
      <c r="Z56" s="15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5"/>
      <c r="AM56" s="15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5"/>
      <c r="AZ56" s="15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5"/>
      <c r="BM56" s="15"/>
      <c r="BN56" s="21"/>
      <c r="BO56" s="16"/>
      <c r="BP56" s="16"/>
      <c r="BQ56" s="16"/>
      <c r="BR56" s="16"/>
      <c r="BS56" s="16"/>
      <c r="BT56" s="16"/>
      <c r="BU56" s="8"/>
      <c r="BV56" s="8"/>
      <c r="BW56" s="8"/>
      <c r="BX56" s="8"/>
      <c r="BY56" s="25"/>
      <c r="BZ56" s="25"/>
      <c r="CA56" s="25"/>
      <c r="CB56" s="25"/>
      <c r="CC56" s="25"/>
      <c r="CD56" s="25"/>
      <c r="CE56" s="25"/>
      <c r="CF56" s="25"/>
      <c r="CG56" s="25"/>
      <c r="CH56" s="25"/>
      <c r="CI56" s="25"/>
      <c r="CJ56" s="25"/>
      <c r="CK56" s="25"/>
      <c r="CL56" s="25"/>
      <c r="CM56" s="25"/>
      <c r="CN56" s="25"/>
      <c r="CO56" s="25"/>
      <c r="CP56" s="25"/>
      <c r="CQ56" s="25"/>
      <c r="CR56" s="25"/>
      <c r="CS56" s="25"/>
      <c r="CT56" s="25"/>
      <c r="CU56" s="25"/>
      <c r="CV56" s="25"/>
      <c r="CW56" s="25"/>
      <c r="CX56" s="25"/>
      <c r="CY56" s="25"/>
      <c r="CZ56" s="25"/>
    </row>
    <row r="57" spans="1:104">
      <c r="A57" s="8" t="s">
        <v>19</v>
      </c>
      <c r="B57" s="8">
        <v>71</v>
      </c>
      <c r="C57" s="8" t="s">
        <v>19</v>
      </c>
      <c r="D57" s="8">
        <v>340</v>
      </c>
      <c r="E57" s="8" t="s">
        <v>20</v>
      </c>
      <c r="F57" s="8">
        <v>169</v>
      </c>
      <c r="G57" s="8" t="s">
        <v>21</v>
      </c>
      <c r="H57" s="8">
        <v>864</v>
      </c>
      <c r="I57" s="8">
        <v>-0.808397379425916</v>
      </c>
      <c r="J57" s="8">
        <v>-0.722360719250727</v>
      </c>
      <c r="K57" s="8">
        <v>0.137389514904666</v>
      </c>
      <c r="L57" s="10"/>
      <c r="M57" s="10">
        <f t="shared" si="2"/>
        <v>149.52</v>
      </c>
      <c r="N57" s="18">
        <f t="shared" si="3"/>
        <v>78.52</v>
      </c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5"/>
      <c r="AM57" s="15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5"/>
      <c r="AZ57" s="15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5"/>
      <c r="BM57" s="15"/>
      <c r="BN57" s="21"/>
      <c r="BO57" s="16"/>
      <c r="BP57" s="16"/>
      <c r="BQ57" s="16"/>
      <c r="BR57" s="16"/>
      <c r="BS57" s="16"/>
      <c r="BT57" s="16"/>
      <c r="BU57" s="8"/>
      <c r="BV57" s="8"/>
      <c r="BW57" s="8"/>
      <c r="BX57" s="8"/>
      <c r="BY57" s="25"/>
      <c r="BZ57" s="25"/>
      <c r="CA57" s="25"/>
      <c r="CB57" s="25"/>
      <c r="CC57" s="25"/>
      <c r="CD57" s="25"/>
      <c r="CE57" s="25"/>
      <c r="CF57" s="25"/>
      <c r="CG57" s="25"/>
      <c r="CH57" s="25"/>
      <c r="CI57" s="25"/>
      <c r="CJ57" s="25"/>
      <c r="CK57" s="25"/>
      <c r="CL57" s="25"/>
      <c r="CM57" s="25"/>
      <c r="CN57" s="25"/>
      <c r="CO57" s="25"/>
      <c r="CP57" s="25"/>
      <c r="CQ57" s="25"/>
      <c r="CR57" s="25"/>
      <c r="CS57" s="25"/>
      <c r="CT57" s="25"/>
      <c r="CU57" s="25"/>
      <c r="CV57" s="25"/>
      <c r="CW57" s="25"/>
      <c r="CX57" s="25"/>
      <c r="CY57" s="25"/>
      <c r="CZ57" s="25"/>
    </row>
    <row r="58" spans="1:104">
      <c r="A58" s="8" t="s">
        <v>19</v>
      </c>
      <c r="B58" s="8">
        <v>71</v>
      </c>
      <c r="C58" s="8" t="s">
        <v>19</v>
      </c>
      <c r="D58" s="8">
        <v>340</v>
      </c>
      <c r="E58" s="8" t="s">
        <v>20</v>
      </c>
      <c r="F58" s="8">
        <v>196</v>
      </c>
      <c r="G58" s="8" t="s">
        <v>21</v>
      </c>
      <c r="H58" s="8">
        <v>1014</v>
      </c>
      <c r="I58" s="8">
        <v>-0.691059583241707</v>
      </c>
      <c r="J58" s="8">
        <v>-0.627427077982242</v>
      </c>
      <c r="K58" s="8">
        <v>0.227840574651785</v>
      </c>
      <c r="L58" s="10"/>
      <c r="M58" s="10">
        <f t="shared" si="2"/>
        <v>176.595</v>
      </c>
      <c r="N58" s="18">
        <f t="shared" si="3"/>
        <v>105.595</v>
      </c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5"/>
      <c r="AM58" s="15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5"/>
      <c r="AZ58" s="15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5"/>
      <c r="BM58" s="15"/>
      <c r="BN58" s="21"/>
      <c r="BO58" s="16"/>
      <c r="BP58" s="16"/>
      <c r="BQ58" s="16"/>
      <c r="BR58" s="16"/>
      <c r="BS58" s="16"/>
      <c r="BT58" s="16"/>
      <c r="BU58" s="8"/>
      <c r="BV58" s="8"/>
      <c r="BW58" s="8"/>
      <c r="BX58" s="8"/>
      <c r="BY58" s="25"/>
      <c r="BZ58" s="25"/>
      <c r="CA58" s="25"/>
      <c r="CB58" s="25"/>
      <c r="CC58" s="25"/>
      <c r="CD58" s="25"/>
      <c r="CE58" s="25"/>
      <c r="CF58" s="25"/>
      <c r="CG58" s="25"/>
      <c r="CH58" s="25"/>
      <c r="CI58" s="25"/>
      <c r="CJ58" s="25"/>
      <c r="CK58" s="25"/>
      <c r="CL58" s="25"/>
      <c r="CM58" s="25"/>
      <c r="CN58" s="25"/>
      <c r="CO58" s="25"/>
      <c r="CP58" s="25"/>
      <c r="CQ58" s="25"/>
      <c r="CR58" s="25"/>
      <c r="CS58" s="25"/>
      <c r="CT58" s="25"/>
      <c r="CU58" s="25"/>
      <c r="CV58" s="25"/>
      <c r="CW58" s="25"/>
      <c r="CX58" s="25"/>
      <c r="CY58" s="25"/>
      <c r="CZ58" s="25"/>
    </row>
    <row r="59" spans="1:104">
      <c r="A59" s="8" t="s">
        <v>19</v>
      </c>
      <c r="B59" s="8">
        <v>71</v>
      </c>
      <c r="C59" s="8" t="s">
        <v>19</v>
      </c>
      <c r="D59" s="8">
        <v>340</v>
      </c>
      <c r="E59" s="8" t="s">
        <v>20</v>
      </c>
      <c r="F59" s="8">
        <v>225</v>
      </c>
      <c r="G59" s="8" t="s">
        <v>21</v>
      </c>
      <c r="H59" s="8">
        <v>1176</v>
      </c>
      <c r="I59" s="8">
        <v>-0.636059501904509</v>
      </c>
      <c r="J59" s="8">
        <v>-0.595290539522966</v>
      </c>
      <c r="K59" s="8">
        <v>0.251131960723076</v>
      </c>
      <c r="L59" s="10"/>
      <c r="M59" s="10">
        <f t="shared" si="2"/>
        <v>203.895</v>
      </c>
      <c r="N59" s="18">
        <f t="shared" si="3"/>
        <v>132.895</v>
      </c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5"/>
      <c r="AM59" s="15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5"/>
      <c r="AZ59" s="15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5"/>
      <c r="BM59" s="15"/>
      <c r="BN59" s="21"/>
      <c r="BO59" s="16"/>
      <c r="BP59" s="16"/>
      <c r="BQ59" s="16"/>
      <c r="BR59" s="16"/>
      <c r="BS59" s="16"/>
      <c r="BT59" s="16"/>
      <c r="BU59" s="8"/>
      <c r="BV59" s="8"/>
      <c r="BW59" s="8"/>
      <c r="BX59" s="8"/>
      <c r="BY59" s="25"/>
      <c r="BZ59" s="25"/>
      <c r="CA59" s="25"/>
      <c r="CB59" s="25"/>
      <c r="CC59" s="25"/>
      <c r="CD59" s="25"/>
      <c r="CE59" s="25"/>
      <c r="CF59" s="25"/>
      <c r="CG59" s="25"/>
      <c r="CH59" s="25"/>
      <c r="CI59" s="25"/>
      <c r="CJ59" s="25"/>
      <c r="CK59" s="25"/>
      <c r="CL59" s="25"/>
      <c r="CM59" s="25"/>
      <c r="CN59" s="25"/>
      <c r="CO59" s="25"/>
      <c r="CP59" s="25"/>
      <c r="CQ59" s="25"/>
      <c r="CR59" s="25"/>
      <c r="CS59" s="25"/>
      <c r="CT59" s="25"/>
      <c r="CU59" s="25"/>
      <c r="CV59" s="25"/>
      <c r="CW59" s="25"/>
      <c r="CX59" s="25"/>
      <c r="CY59" s="25"/>
      <c r="CZ59" s="25"/>
    </row>
    <row r="60" spans="1:104">
      <c r="A60" s="8" t="s">
        <v>19</v>
      </c>
      <c r="B60" s="8">
        <v>71</v>
      </c>
      <c r="C60" s="8" t="s">
        <v>19</v>
      </c>
      <c r="D60" s="8">
        <v>340</v>
      </c>
      <c r="E60" s="8" t="s">
        <v>20</v>
      </c>
      <c r="F60" s="8">
        <v>256</v>
      </c>
      <c r="G60" s="8" t="s">
        <v>21</v>
      </c>
      <c r="H60" s="8">
        <v>1350</v>
      </c>
      <c r="I60" s="8">
        <v>-0.500256478662591</v>
      </c>
      <c r="J60" s="8">
        <v>-0.474748077599131</v>
      </c>
      <c r="K60" s="8">
        <v>0.451051617901045</v>
      </c>
      <c r="L60" s="10"/>
      <c r="M60" s="10">
        <f t="shared" si="2"/>
        <v>233.155</v>
      </c>
      <c r="N60" s="18">
        <f t="shared" si="3"/>
        <v>162.155</v>
      </c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5"/>
      <c r="AM60" s="15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5"/>
      <c r="AZ60" s="15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5"/>
      <c r="BM60" s="15"/>
      <c r="BN60" s="21"/>
      <c r="BO60" s="16"/>
      <c r="BP60" s="16"/>
      <c r="BQ60" s="16"/>
      <c r="BR60" s="16"/>
      <c r="BS60" s="16"/>
      <c r="BT60" s="16"/>
      <c r="BU60" s="8"/>
      <c r="BV60" s="8"/>
      <c r="BW60" s="8"/>
      <c r="BX60" s="8"/>
      <c r="BY60" s="25"/>
      <c r="BZ60" s="25"/>
      <c r="CA60" s="25"/>
      <c r="CB60" s="25"/>
      <c r="CC60" s="25"/>
      <c r="CD60" s="25"/>
      <c r="CE60" s="25"/>
      <c r="CF60" s="25"/>
      <c r="CG60" s="25"/>
      <c r="CH60" s="25"/>
      <c r="CI60" s="25"/>
      <c r="CJ60" s="25"/>
      <c r="CK60" s="25"/>
      <c r="CL60" s="25"/>
      <c r="CM60" s="25"/>
      <c r="CN60" s="25"/>
      <c r="CO60" s="25"/>
      <c r="CP60" s="25"/>
      <c r="CQ60" s="25"/>
      <c r="CR60" s="25"/>
      <c r="CS60" s="25"/>
      <c r="CT60" s="25"/>
      <c r="CU60" s="25"/>
      <c r="CV60" s="25"/>
      <c r="CW60" s="25"/>
      <c r="CX60" s="25"/>
      <c r="CY60" s="25"/>
      <c r="CZ60" s="25"/>
    </row>
    <row r="61" spans="1:104">
      <c r="A61" s="8" t="s">
        <v>19</v>
      </c>
      <c r="B61" s="8">
        <v>71</v>
      </c>
      <c r="C61" s="8" t="s">
        <v>19</v>
      </c>
      <c r="D61" s="8">
        <v>340</v>
      </c>
      <c r="E61" s="8" t="s">
        <v>20</v>
      </c>
      <c r="F61" s="8">
        <v>289</v>
      </c>
      <c r="G61" s="8" t="s">
        <v>21</v>
      </c>
      <c r="H61" s="8">
        <v>1536</v>
      </c>
      <c r="I61" s="8">
        <v>-0.461696695414715</v>
      </c>
      <c r="J61" s="8">
        <v>-0.443615189246662</v>
      </c>
      <c r="K61" s="8">
        <v>0.537956290993747</v>
      </c>
      <c r="L61" s="10"/>
      <c r="M61" s="10">
        <f t="shared" si="2"/>
        <v>264.375</v>
      </c>
      <c r="N61" s="18">
        <f t="shared" si="3"/>
        <v>193.375</v>
      </c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5"/>
      <c r="AM61" s="15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5"/>
      <c r="AZ61" s="15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5"/>
      <c r="BM61" s="15"/>
      <c r="BN61" s="21"/>
      <c r="BO61" s="16"/>
      <c r="BP61" s="16"/>
      <c r="BQ61" s="16"/>
      <c r="BR61" s="16"/>
      <c r="BS61" s="16"/>
      <c r="BT61" s="16"/>
      <c r="BU61" s="8"/>
      <c r="BV61" s="8"/>
      <c r="BW61" s="8"/>
      <c r="BX61" s="8"/>
      <c r="BY61" s="25"/>
      <c r="BZ61" s="25"/>
      <c r="CA61" s="25"/>
      <c r="CB61" s="25"/>
      <c r="CC61" s="25"/>
      <c r="CD61" s="25"/>
      <c r="CE61" s="25"/>
      <c r="CF61" s="25"/>
      <c r="CG61" s="25"/>
      <c r="CH61" s="25"/>
      <c r="CI61" s="25"/>
      <c r="CJ61" s="25"/>
      <c r="CK61" s="25"/>
      <c r="CL61" s="25"/>
      <c r="CM61" s="25"/>
      <c r="CN61" s="25"/>
      <c r="CO61" s="25"/>
      <c r="CP61" s="25"/>
      <c r="CQ61" s="25"/>
      <c r="CR61" s="25"/>
      <c r="CS61" s="25"/>
      <c r="CT61" s="25"/>
      <c r="CU61" s="25"/>
      <c r="CV61" s="25"/>
      <c r="CW61" s="25"/>
      <c r="CX61" s="25"/>
      <c r="CY61" s="25"/>
      <c r="CZ61" s="25"/>
    </row>
    <row r="62" spans="1:104">
      <c r="A62" s="8" t="s">
        <v>19</v>
      </c>
      <c r="B62" s="8">
        <v>71</v>
      </c>
      <c r="C62" s="8" t="s">
        <v>19</v>
      </c>
      <c r="D62" s="8">
        <v>340</v>
      </c>
      <c r="E62" s="8" t="s">
        <v>20</v>
      </c>
      <c r="F62" s="8">
        <v>324</v>
      </c>
      <c r="G62" s="8" t="s">
        <v>21</v>
      </c>
      <c r="H62" s="8">
        <v>1734</v>
      </c>
      <c r="I62" s="8">
        <v>-0.297505703647409</v>
      </c>
      <c r="J62" s="8">
        <v>-0.27954460112117</v>
      </c>
      <c r="K62" s="8">
        <v>1.31040731400711</v>
      </c>
      <c r="L62" s="10"/>
      <c r="M62" s="10">
        <f t="shared" si="2"/>
        <v>297.555</v>
      </c>
      <c r="N62" s="18">
        <f t="shared" si="3"/>
        <v>226.555</v>
      </c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5"/>
      <c r="AM62" s="15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5"/>
      <c r="AZ62" s="15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5"/>
      <c r="BM62" s="15"/>
      <c r="BN62" s="21"/>
      <c r="BO62" s="16"/>
      <c r="BP62" s="16"/>
      <c r="BQ62" s="16"/>
      <c r="BR62" s="16"/>
      <c r="BS62" s="16"/>
      <c r="BT62" s="16"/>
      <c r="BU62" s="8"/>
      <c r="BV62" s="8"/>
      <c r="BW62" s="8"/>
      <c r="BX62" s="8"/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5"/>
      <c r="CJ62" s="25"/>
      <c r="CK62" s="25"/>
      <c r="CL62" s="25"/>
      <c r="CM62" s="25"/>
      <c r="CN62" s="25"/>
      <c r="CO62" s="25"/>
      <c r="CP62" s="25"/>
      <c r="CQ62" s="25"/>
      <c r="CR62" s="25"/>
      <c r="CS62" s="25"/>
      <c r="CT62" s="25"/>
      <c r="CU62" s="25"/>
      <c r="CV62" s="25"/>
      <c r="CW62" s="25"/>
      <c r="CX62" s="25"/>
      <c r="CY62" s="25"/>
      <c r="CZ62" s="25"/>
    </row>
    <row r="63" spans="1:104">
      <c r="A63" s="8" t="s">
        <v>19</v>
      </c>
      <c r="B63" s="8">
        <v>71</v>
      </c>
      <c r="C63" s="8" t="s">
        <v>19</v>
      </c>
      <c r="D63" s="8">
        <v>340</v>
      </c>
      <c r="E63" s="8" t="s">
        <v>20</v>
      </c>
      <c r="F63" s="8">
        <v>361</v>
      </c>
      <c r="G63" s="8" t="s">
        <v>21</v>
      </c>
      <c r="H63" s="8">
        <v>1944</v>
      </c>
      <c r="I63" s="8">
        <v>-0.019569908537859</v>
      </c>
      <c r="J63" s="8">
        <v>-0.0212536360583489</v>
      </c>
      <c r="K63" s="8">
        <v>2.19054913030666</v>
      </c>
      <c r="L63" s="10"/>
      <c r="M63" s="10">
        <f t="shared" si="2"/>
        <v>332.695</v>
      </c>
      <c r="N63" s="18">
        <f t="shared" si="3"/>
        <v>261.695</v>
      </c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5"/>
      <c r="AM63" s="15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5"/>
      <c r="AZ63" s="15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5"/>
      <c r="BM63" s="15"/>
      <c r="BN63" s="21"/>
      <c r="BO63" s="16"/>
      <c r="BP63" s="16"/>
      <c r="BQ63" s="16"/>
      <c r="BR63" s="16"/>
      <c r="BS63" s="16"/>
      <c r="BT63" s="16"/>
      <c r="BU63" s="8"/>
      <c r="BV63" s="8"/>
      <c r="BW63" s="8"/>
      <c r="BX63" s="8"/>
      <c r="BY63" s="25"/>
      <c r="BZ63" s="25"/>
      <c r="CA63" s="25"/>
      <c r="CB63" s="25"/>
      <c r="CC63" s="25"/>
      <c r="CD63" s="25"/>
      <c r="CE63" s="25"/>
      <c r="CF63" s="25"/>
      <c r="CG63" s="25"/>
      <c r="CH63" s="25"/>
      <c r="CI63" s="25"/>
      <c r="CJ63" s="25"/>
      <c r="CK63" s="25"/>
      <c r="CL63" s="25"/>
      <c r="CM63" s="25"/>
      <c r="CN63" s="25"/>
      <c r="CO63" s="25"/>
      <c r="CP63" s="25"/>
      <c r="CQ63" s="25"/>
      <c r="CR63" s="25"/>
      <c r="CS63" s="25"/>
      <c r="CT63" s="25"/>
      <c r="CU63" s="25"/>
      <c r="CV63" s="25"/>
      <c r="CW63" s="25"/>
      <c r="CX63" s="25"/>
      <c r="CY63" s="25"/>
      <c r="CZ63" s="25"/>
    </row>
    <row r="64" spans="1:104">
      <c r="A64" s="8" t="s">
        <v>19</v>
      </c>
      <c r="B64" s="8">
        <v>71</v>
      </c>
      <c r="C64" s="8" t="s">
        <v>19</v>
      </c>
      <c r="D64" s="8">
        <v>340</v>
      </c>
      <c r="E64" s="8" t="s">
        <v>20</v>
      </c>
      <c r="F64" s="8">
        <v>400</v>
      </c>
      <c r="G64" s="8" t="s">
        <v>21</v>
      </c>
      <c r="H64" s="8">
        <v>2166</v>
      </c>
      <c r="I64" s="8">
        <v>1.28880643686857e-6</v>
      </c>
      <c r="J64" s="8">
        <v>-2.51545341310742e-6</v>
      </c>
      <c r="K64" s="8">
        <v>1.87282663777113</v>
      </c>
      <c r="L64" s="10"/>
      <c r="M64" s="10">
        <f t="shared" si="2"/>
        <v>369.795</v>
      </c>
      <c r="N64" s="18">
        <f t="shared" si="3"/>
        <v>298.795</v>
      </c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5"/>
      <c r="AM64" s="15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5"/>
      <c r="AZ64" s="15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5"/>
      <c r="BM64" s="15"/>
      <c r="BN64" s="21"/>
      <c r="BO64" s="16"/>
      <c r="BP64" s="16"/>
      <c r="BQ64" s="16"/>
      <c r="BR64" s="16"/>
      <c r="BS64" s="16"/>
      <c r="BT64" s="16"/>
      <c r="BU64" s="8"/>
      <c r="BV64" s="8"/>
      <c r="BW64" s="8"/>
      <c r="BX64" s="8"/>
      <c r="BY64" s="25"/>
      <c r="BZ64" s="25"/>
      <c r="CA64" s="25"/>
      <c r="CB64" s="25"/>
      <c r="CC64" s="25"/>
      <c r="CD64" s="25"/>
      <c r="CE64" s="25"/>
      <c r="CF64" s="25"/>
      <c r="CG64" s="25"/>
      <c r="CH64" s="25"/>
      <c r="CI64" s="25"/>
      <c r="CJ64" s="25"/>
      <c r="CK64" s="25"/>
      <c r="CL64" s="25"/>
      <c r="CM64" s="25"/>
      <c r="CN64" s="25"/>
      <c r="CO64" s="25"/>
      <c r="CP64" s="25"/>
      <c r="CQ64" s="25"/>
      <c r="CR64" s="25"/>
      <c r="CS64" s="25"/>
      <c r="CT64" s="25"/>
      <c r="CU64" s="25"/>
      <c r="CV64" s="25"/>
      <c r="CW64" s="25"/>
      <c r="CX64" s="25"/>
      <c r="CY64" s="25"/>
      <c r="CZ64" s="25"/>
    </row>
    <row r="65" spans="1:104">
      <c r="A65" s="8" t="s">
        <v>19</v>
      </c>
      <c r="B65" s="8">
        <v>71</v>
      </c>
      <c r="C65" s="8" t="s">
        <v>19</v>
      </c>
      <c r="D65" s="8">
        <v>340</v>
      </c>
      <c r="E65" s="8" t="s">
        <v>20</v>
      </c>
      <c r="F65" s="8">
        <v>441</v>
      </c>
      <c r="G65" s="8" t="s">
        <v>21</v>
      </c>
      <c r="H65" s="8">
        <v>2400</v>
      </c>
      <c r="I65" s="8">
        <v>-5.67777666480981e-7</v>
      </c>
      <c r="J65" s="8">
        <v>-1.53073956851643e-6</v>
      </c>
      <c r="K65" s="8">
        <v>1.6556843251685</v>
      </c>
      <c r="L65" s="10"/>
      <c r="M65" s="10">
        <f t="shared" si="2"/>
        <v>411.72</v>
      </c>
      <c r="N65" s="18">
        <f t="shared" si="3"/>
        <v>340.72</v>
      </c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5"/>
      <c r="AM65" s="15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5"/>
      <c r="AZ65" s="15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5"/>
      <c r="BM65" s="15"/>
      <c r="BN65" s="21"/>
      <c r="BO65" s="16"/>
      <c r="BP65" s="16"/>
      <c r="BQ65" s="16"/>
      <c r="BR65" s="16"/>
      <c r="BS65" s="16"/>
      <c r="BT65" s="16"/>
      <c r="BU65" s="8"/>
      <c r="BV65" s="8"/>
      <c r="BW65" s="8"/>
      <c r="BX65" s="8"/>
      <c r="BY65" s="25"/>
      <c r="BZ65" s="25"/>
      <c r="CA65" s="25"/>
      <c r="CB65" s="25"/>
      <c r="CC65" s="25"/>
      <c r="CD65" s="25"/>
      <c r="CE65" s="25"/>
      <c r="CF65" s="25"/>
      <c r="CG65" s="25"/>
      <c r="CH65" s="25"/>
      <c r="CI65" s="25"/>
      <c r="CJ65" s="25"/>
      <c r="CK65" s="25"/>
      <c r="CL65" s="25"/>
      <c r="CM65" s="25"/>
      <c r="CN65" s="25"/>
      <c r="CO65" s="25"/>
      <c r="CP65" s="25"/>
      <c r="CQ65" s="25"/>
      <c r="CR65" s="25"/>
      <c r="CS65" s="25"/>
      <c r="CT65" s="25"/>
      <c r="CU65" s="25"/>
      <c r="CV65" s="25"/>
      <c r="CW65" s="25"/>
      <c r="CX65" s="25"/>
      <c r="CY65" s="25"/>
      <c r="CZ65" s="25"/>
    </row>
    <row r="66" spans="1:104">
      <c r="A66" s="8" t="s">
        <v>19</v>
      </c>
      <c r="B66" s="8">
        <v>71</v>
      </c>
      <c r="C66" s="8" t="s">
        <v>19</v>
      </c>
      <c r="D66" s="8">
        <v>340</v>
      </c>
      <c r="E66" s="8" t="s">
        <v>20</v>
      </c>
      <c r="F66" s="8">
        <v>484</v>
      </c>
      <c r="G66" s="8" t="s">
        <v>21</v>
      </c>
      <c r="H66" s="8">
        <v>2646</v>
      </c>
      <c r="I66" s="8">
        <v>9.68221062912526e-9</v>
      </c>
      <c r="J66" s="8">
        <v>-6.08643880454949e-7</v>
      </c>
      <c r="K66" s="8">
        <v>1.50392620883347</v>
      </c>
      <c r="L66" s="10"/>
      <c r="M66" s="10">
        <f t="shared" si="2"/>
        <v>452.88</v>
      </c>
      <c r="N66" s="18">
        <f t="shared" si="3"/>
        <v>381.88</v>
      </c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5"/>
      <c r="AM66" s="15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5"/>
      <c r="AZ66" s="15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5"/>
      <c r="BM66" s="15"/>
      <c r="BN66" s="21"/>
      <c r="BO66" s="16"/>
      <c r="BP66" s="16"/>
      <c r="BQ66" s="16"/>
      <c r="BR66" s="16"/>
      <c r="BS66" s="16"/>
      <c r="BT66" s="16"/>
      <c r="BU66" s="8"/>
      <c r="BV66" s="8"/>
      <c r="BW66" s="8"/>
      <c r="BX66" s="8"/>
      <c r="BY66" s="25"/>
      <c r="BZ66" s="25"/>
      <c r="CA66" s="25"/>
      <c r="CB66" s="25"/>
      <c r="CC66" s="25"/>
      <c r="CD66" s="25"/>
      <c r="CE66" s="25"/>
      <c r="CF66" s="25"/>
      <c r="CG66" s="25"/>
      <c r="CH66" s="25"/>
      <c r="CI66" s="25"/>
      <c r="CJ66" s="25"/>
      <c r="CK66" s="25"/>
      <c r="CL66" s="25"/>
      <c r="CM66" s="25"/>
      <c r="CN66" s="25"/>
      <c r="CO66" s="25"/>
      <c r="CP66" s="25"/>
      <c r="CQ66" s="25"/>
      <c r="CR66" s="25"/>
      <c r="CS66" s="25"/>
      <c r="CT66" s="25"/>
      <c r="CU66" s="25"/>
      <c r="CV66" s="25"/>
      <c r="CW66" s="25"/>
      <c r="CX66" s="25"/>
      <c r="CY66" s="25"/>
      <c r="CZ66" s="25"/>
    </row>
    <row r="67" spans="1:104">
      <c r="A67" s="8" t="s">
        <v>19</v>
      </c>
      <c r="B67" s="8">
        <v>71</v>
      </c>
      <c r="C67" s="8" t="s">
        <v>19</v>
      </c>
      <c r="D67" s="8">
        <v>340</v>
      </c>
      <c r="E67" s="8" t="s">
        <v>20</v>
      </c>
      <c r="F67" s="8">
        <v>529</v>
      </c>
      <c r="G67" s="8" t="s">
        <v>21</v>
      </c>
      <c r="H67" s="8">
        <v>2904</v>
      </c>
      <c r="I67" s="8">
        <v>-4.90441047215145e-7</v>
      </c>
      <c r="J67" s="8">
        <v>-7.29049200395525e-7</v>
      </c>
      <c r="K67" s="8">
        <v>1.43921647415485</v>
      </c>
      <c r="L67" s="10"/>
      <c r="M67" s="10">
        <f t="shared" si="2"/>
        <v>496</v>
      </c>
      <c r="N67" s="18">
        <f t="shared" si="3"/>
        <v>425</v>
      </c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5"/>
      <c r="AM67" s="15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5"/>
      <c r="AZ67" s="15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5"/>
      <c r="BM67" s="15"/>
      <c r="BN67" s="21"/>
      <c r="BO67" s="16"/>
      <c r="BP67" s="16"/>
      <c r="BQ67" s="16"/>
      <c r="BR67" s="16"/>
      <c r="BS67" s="16"/>
      <c r="BT67" s="16"/>
      <c r="BU67" s="8"/>
      <c r="BV67" s="8"/>
      <c r="BW67" s="8"/>
      <c r="BX67" s="8"/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  <c r="CK67" s="25"/>
      <c r="CL67" s="25"/>
      <c r="CM67" s="25"/>
      <c r="CN67" s="25"/>
      <c r="CO67" s="25"/>
      <c r="CP67" s="25"/>
      <c r="CQ67" s="25"/>
      <c r="CR67" s="25"/>
      <c r="CS67" s="25"/>
      <c r="CT67" s="25"/>
      <c r="CU67" s="25"/>
      <c r="CV67" s="25"/>
      <c r="CW67" s="25"/>
      <c r="CX67" s="25"/>
      <c r="CY67" s="25"/>
      <c r="CZ67" s="25"/>
    </row>
    <row r="68" spans="1:104">
      <c r="A68" s="8" t="s">
        <v>19</v>
      </c>
      <c r="B68" s="8">
        <v>71</v>
      </c>
      <c r="C68" s="8" t="s">
        <v>19</v>
      </c>
      <c r="D68" s="8">
        <v>340</v>
      </c>
      <c r="E68" s="8" t="s">
        <v>20</v>
      </c>
      <c r="F68" s="8">
        <v>576</v>
      </c>
      <c r="G68" s="8" t="s">
        <v>21</v>
      </c>
      <c r="H68" s="8">
        <v>3174</v>
      </c>
      <c r="I68" s="8">
        <v>-3.23249407389078e-7</v>
      </c>
      <c r="J68" s="8">
        <v>-5.02115121690256e-7</v>
      </c>
      <c r="K68" s="8">
        <v>1.36386532571122</v>
      </c>
      <c r="L68" s="10"/>
      <c r="M68" s="10">
        <f t="shared" si="2"/>
        <v>541.08</v>
      </c>
      <c r="N68" s="18">
        <f t="shared" si="3"/>
        <v>470.08</v>
      </c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5"/>
      <c r="AM68" s="15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5"/>
      <c r="AZ68" s="15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5"/>
      <c r="BM68" s="15"/>
      <c r="BN68" s="21"/>
      <c r="BO68" s="16"/>
      <c r="BP68" s="16"/>
      <c r="BQ68" s="16"/>
      <c r="BR68" s="16"/>
      <c r="BS68" s="16"/>
      <c r="BT68" s="16"/>
      <c r="BU68" s="8"/>
      <c r="BV68" s="8"/>
      <c r="BW68" s="8"/>
      <c r="BX68" s="8"/>
      <c r="BY68" s="25"/>
      <c r="BZ68" s="25"/>
      <c r="CA68" s="25"/>
      <c r="CB68" s="25"/>
      <c r="CC68" s="25"/>
      <c r="CD68" s="25"/>
      <c r="CE68" s="25"/>
      <c r="CF68" s="25"/>
      <c r="CG68" s="25"/>
      <c r="CH68" s="25"/>
      <c r="CI68" s="25"/>
      <c r="CJ68" s="25"/>
      <c r="CK68" s="25"/>
      <c r="CL68" s="25"/>
      <c r="CM68" s="25"/>
      <c r="CN68" s="25"/>
      <c r="CO68" s="25"/>
      <c r="CP68" s="25"/>
      <c r="CQ68" s="25"/>
      <c r="CR68" s="25"/>
      <c r="CS68" s="25"/>
      <c r="CT68" s="25"/>
      <c r="CU68" s="25"/>
      <c r="CV68" s="25"/>
      <c r="CW68" s="25"/>
      <c r="CX68" s="25"/>
      <c r="CY68" s="25"/>
      <c r="CZ68" s="25"/>
    </row>
    <row r="69" spans="1:104">
      <c r="A69" s="8" t="s">
        <v>19</v>
      </c>
      <c r="B69" s="8">
        <v>71</v>
      </c>
      <c r="C69" s="8" t="s">
        <v>19</v>
      </c>
      <c r="D69" s="8">
        <v>340</v>
      </c>
      <c r="E69" s="8" t="s">
        <v>20</v>
      </c>
      <c r="F69" s="8">
        <v>625</v>
      </c>
      <c r="G69" s="8" t="s">
        <v>21</v>
      </c>
      <c r="H69" s="8">
        <v>3456</v>
      </c>
      <c r="I69" s="8">
        <v>-3.70278873490997e-7</v>
      </c>
      <c r="J69" s="8">
        <v>-4.89776843405945e-7</v>
      </c>
      <c r="K69" s="8">
        <v>1.33495783826248</v>
      </c>
      <c r="L69" s="10"/>
      <c r="M69" s="10">
        <f t="shared" si="2"/>
        <v>588.12</v>
      </c>
      <c r="N69" s="18">
        <f t="shared" si="3"/>
        <v>517.12</v>
      </c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5"/>
      <c r="AM69" s="15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5"/>
      <c r="AZ69" s="15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5"/>
      <c r="BM69" s="15"/>
      <c r="BN69" s="21"/>
      <c r="BO69" s="16"/>
      <c r="BP69" s="16"/>
      <c r="BQ69" s="16"/>
      <c r="BR69" s="16"/>
      <c r="BS69" s="16"/>
      <c r="BT69" s="16"/>
      <c r="BU69" s="8"/>
      <c r="BV69" s="8"/>
      <c r="BW69" s="8"/>
      <c r="BX69" s="8"/>
      <c r="BY69" s="25"/>
      <c r="BZ69" s="25"/>
      <c r="CA69" s="25"/>
      <c r="CB69" s="25"/>
      <c r="CC69" s="25"/>
      <c r="CD69" s="25"/>
      <c r="CE69" s="25"/>
      <c r="CF69" s="25"/>
      <c r="CG69" s="25"/>
      <c r="CH69" s="25"/>
      <c r="CI69" s="25"/>
      <c r="CJ69" s="25"/>
      <c r="CK69" s="25"/>
      <c r="CL69" s="25"/>
      <c r="CM69" s="25"/>
      <c r="CN69" s="25"/>
      <c r="CO69" s="25"/>
      <c r="CP69" s="25"/>
      <c r="CQ69" s="25"/>
      <c r="CR69" s="25"/>
      <c r="CS69" s="25"/>
      <c r="CT69" s="25"/>
      <c r="CU69" s="25"/>
      <c r="CV69" s="25"/>
      <c r="CW69" s="25"/>
      <c r="CX69" s="25"/>
      <c r="CY69" s="25"/>
      <c r="CZ69" s="25"/>
    </row>
    <row r="70" spans="1:104">
      <c r="A70" s="8" t="s">
        <v>19</v>
      </c>
      <c r="B70" s="8">
        <v>71</v>
      </c>
      <c r="C70" s="8" t="s">
        <v>19</v>
      </c>
      <c r="D70" s="8">
        <v>340</v>
      </c>
      <c r="E70" s="8" t="s">
        <v>20</v>
      </c>
      <c r="F70" s="8">
        <v>676</v>
      </c>
      <c r="G70" s="8" t="s">
        <v>21</v>
      </c>
      <c r="H70" s="8">
        <v>3750</v>
      </c>
      <c r="I70" s="8">
        <v>-3.81259370063206e-7</v>
      </c>
      <c r="J70" s="8">
        <v>-4.53343288379996e-7</v>
      </c>
      <c r="K70" s="8">
        <v>1.3044159314439</v>
      </c>
      <c r="L70" s="10"/>
      <c r="M70" s="10">
        <f t="shared" si="2"/>
        <v>637.12</v>
      </c>
      <c r="N70" s="18">
        <f t="shared" si="3"/>
        <v>566.12</v>
      </c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5"/>
      <c r="AM70" s="15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5"/>
      <c r="AZ70" s="15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5"/>
      <c r="BM70" s="15"/>
      <c r="BN70" s="21"/>
      <c r="BO70" s="16"/>
      <c r="BP70" s="16"/>
      <c r="BQ70" s="16"/>
      <c r="BR70" s="16"/>
      <c r="BS70" s="16"/>
      <c r="BT70" s="16"/>
      <c r="BU70" s="8"/>
      <c r="BV70" s="8"/>
      <c r="BW70" s="8"/>
      <c r="BX70" s="8"/>
      <c r="BY70" s="25"/>
      <c r="BZ70" s="25"/>
      <c r="CA70" s="25"/>
      <c r="CB70" s="25"/>
      <c r="CC70" s="25"/>
      <c r="CD70" s="25"/>
      <c r="CE70" s="25"/>
      <c r="CF70" s="25"/>
      <c r="CG70" s="25"/>
      <c r="CH70" s="25"/>
      <c r="CI70" s="25"/>
      <c r="CJ70" s="25"/>
      <c r="CK70" s="25"/>
      <c r="CL70" s="25"/>
      <c r="CM70" s="25"/>
      <c r="CN70" s="25"/>
      <c r="CO70" s="25"/>
      <c r="CP70" s="25"/>
      <c r="CQ70" s="25"/>
      <c r="CR70" s="25"/>
      <c r="CS70" s="25"/>
      <c r="CT70" s="25"/>
      <c r="CU70" s="25"/>
      <c r="CV70" s="25"/>
      <c r="CW70" s="25"/>
      <c r="CX70" s="25"/>
      <c r="CY70" s="25"/>
      <c r="CZ70" s="25"/>
    </row>
    <row r="71" spans="1:104">
      <c r="A71" s="8" t="s">
        <v>19</v>
      </c>
      <c r="B71" s="8">
        <v>71</v>
      </c>
      <c r="C71" s="8" t="s">
        <v>19</v>
      </c>
      <c r="D71" s="8">
        <v>340</v>
      </c>
      <c r="E71" s="8" t="s">
        <v>20</v>
      </c>
      <c r="F71" s="8">
        <v>729</v>
      </c>
      <c r="G71" s="8" t="s">
        <v>21</v>
      </c>
      <c r="H71" s="8">
        <v>4056</v>
      </c>
      <c r="I71" s="8">
        <v>-3.66883339124045e-7</v>
      </c>
      <c r="J71" s="8">
        <v>-4.16545128088585e-7</v>
      </c>
      <c r="K71" s="8">
        <v>1.28007588809948</v>
      </c>
      <c r="L71" s="10"/>
      <c r="M71" s="10">
        <f t="shared" si="2"/>
        <v>688.08</v>
      </c>
      <c r="N71" s="18">
        <f t="shared" si="3"/>
        <v>617.08</v>
      </c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5"/>
      <c r="AM71" s="15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5"/>
      <c r="AZ71" s="15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5"/>
      <c r="BM71" s="15"/>
      <c r="BN71" s="21"/>
      <c r="BO71" s="16"/>
      <c r="BP71" s="16"/>
      <c r="BQ71" s="16"/>
      <c r="BR71" s="16"/>
      <c r="BS71" s="16"/>
      <c r="BT71" s="16"/>
      <c r="BU71" s="8"/>
      <c r="BV71" s="8"/>
      <c r="BW71" s="8"/>
      <c r="BX71" s="8"/>
      <c r="BY71" s="25"/>
      <c r="BZ71" s="25"/>
      <c r="CA71" s="25"/>
      <c r="CB71" s="25"/>
      <c r="CC71" s="25"/>
      <c r="CD71" s="25"/>
      <c r="CE71" s="25"/>
      <c r="CF71" s="25"/>
      <c r="CG71" s="25"/>
      <c r="CH71" s="25"/>
      <c r="CI71" s="25"/>
      <c r="CJ71" s="25"/>
      <c r="CK71" s="25"/>
      <c r="CL71" s="25"/>
      <c r="CM71" s="25"/>
      <c r="CN71" s="25"/>
      <c r="CO71" s="25"/>
      <c r="CP71" s="25"/>
      <c r="CQ71" s="25"/>
      <c r="CR71" s="25"/>
      <c r="CS71" s="25"/>
      <c r="CT71" s="25"/>
      <c r="CU71" s="25"/>
      <c r="CV71" s="25"/>
      <c r="CW71" s="25"/>
      <c r="CX71" s="25"/>
      <c r="CY71" s="25"/>
      <c r="CZ71" s="25"/>
    </row>
    <row r="72" spans="1:104">
      <c r="A72" s="8" t="s">
        <v>19</v>
      </c>
      <c r="B72" s="8">
        <v>71</v>
      </c>
      <c r="C72" s="8" t="s">
        <v>19</v>
      </c>
      <c r="D72" s="8">
        <v>340</v>
      </c>
      <c r="E72" s="8" t="s">
        <v>20</v>
      </c>
      <c r="F72" s="8">
        <v>784</v>
      </c>
      <c r="G72" s="8" t="s">
        <v>21</v>
      </c>
      <c r="H72" s="8">
        <v>4374</v>
      </c>
      <c r="I72" s="8">
        <v>-2.81961211347543e-7</v>
      </c>
      <c r="J72" s="8">
        <v>-3.53092246551124e-7</v>
      </c>
      <c r="K72" s="8">
        <v>1.26129148543561</v>
      </c>
      <c r="L72" s="10"/>
      <c r="M72" s="10">
        <f t="shared" si="2"/>
        <v>744.855</v>
      </c>
      <c r="N72" s="18">
        <f t="shared" si="3"/>
        <v>673.855</v>
      </c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5"/>
      <c r="AM72" s="15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5"/>
      <c r="AZ72" s="15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5"/>
      <c r="BM72" s="15"/>
      <c r="BN72" s="21"/>
      <c r="BO72" s="16"/>
      <c r="BP72" s="16"/>
      <c r="BQ72" s="16"/>
      <c r="BR72" s="16"/>
      <c r="BS72" s="16"/>
      <c r="BT72" s="16"/>
      <c r="BU72" s="8"/>
      <c r="BV72" s="8"/>
      <c r="BW72" s="8"/>
      <c r="BX72" s="8"/>
      <c r="BY72" s="25"/>
      <c r="BZ72" s="25"/>
      <c r="CA72" s="25"/>
      <c r="CB72" s="25"/>
      <c r="CC72" s="25"/>
      <c r="CD72" s="25"/>
      <c r="CE72" s="25"/>
      <c r="CF72" s="25"/>
      <c r="CG72" s="25"/>
      <c r="CH72" s="25"/>
      <c r="CI72" s="25"/>
      <c r="CJ72" s="25"/>
      <c r="CK72" s="25"/>
      <c r="CL72" s="25"/>
      <c r="CM72" s="25"/>
      <c r="CN72" s="25"/>
      <c r="CO72" s="25"/>
      <c r="CP72" s="25"/>
      <c r="CQ72" s="25"/>
      <c r="CR72" s="25"/>
      <c r="CS72" s="25"/>
      <c r="CT72" s="25"/>
      <c r="CU72" s="25"/>
      <c r="CV72" s="25"/>
      <c r="CW72" s="25"/>
      <c r="CX72" s="25"/>
      <c r="CY72" s="25"/>
      <c r="CZ72" s="25"/>
    </row>
    <row r="73" spans="1:104">
      <c r="A73" s="8" t="s">
        <v>19</v>
      </c>
      <c r="B73" s="8">
        <v>71</v>
      </c>
      <c r="C73" s="8" t="s">
        <v>19</v>
      </c>
      <c r="D73" s="8">
        <v>340</v>
      </c>
      <c r="E73" s="8" t="s">
        <v>20</v>
      </c>
      <c r="F73" s="8">
        <v>841</v>
      </c>
      <c r="G73" s="8" t="s">
        <v>21</v>
      </c>
      <c r="H73" s="8">
        <v>4704</v>
      </c>
      <c r="I73" s="8">
        <v>-2.72942060483941e-7</v>
      </c>
      <c r="J73" s="8">
        <v>-3.3881604741779e-7</v>
      </c>
      <c r="K73" s="8">
        <v>1.25163057804789</v>
      </c>
      <c r="L73" s="10"/>
      <c r="M73" s="10">
        <f t="shared" si="2"/>
        <v>799.875</v>
      </c>
      <c r="N73" s="18">
        <f t="shared" si="3"/>
        <v>728.875</v>
      </c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5"/>
      <c r="AM73" s="15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5"/>
      <c r="AZ73" s="15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5"/>
      <c r="BM73" s="15"/>
      <c r="BN73" s="21"/>
      <c r="BO73" s="16"/>
      <c r="BP73" s="16"/>
      <c r="BQ73" s="16"/>
      <c r="BR73" s="16"/>
      <c r="BS73" s="16"/>
      <c r="BT73" s="16"/>
      <c r="BU73" s="8"/>
      <c r="BV73" s="8"/>
      <c r="BW73" s="8"/>
      <c r="BX73" s="8"/>
      <c r="BY73" s="25"/>
      <c r="BZ73" s="25"/>
      <c r="CA73" s="25"/>
      <c r="CB73" s="25"/>
      <c r="CC73" s="25"/>
      <c r="CD73" s="25"/>
      <c r="CE73" s="25"/>
      <c r="CF73" s="25"/>
      <c r="CG73" s="25"/>
      <c r="CH73" s="25"/>
      <c r="CI73" s="25"/>
      <c r="CJ73" s="25"/>
      <c r="CK73" s="25"/>
      <c r="CL73" s="25"/>
      <c r="CM73" s="25"/>
      <c r="CN73" s="25"/>
      <c r="CO73" s="25"/>
      <c r="CP73" s="25"/>
      <c r="CQ73" s="25"/>
      <c r="CR73" s="25"/>
      <c r="CS73" s="25"/>
      <c r="CT73" s="25"/>
      <c r="CU73" s="25"/>
      <c r="CV73" s="25"/>
      <c r="CW73" s="25"/>
      <c r="CX73" s="25"/>
      <c r="CY73" s="25"/>
      <c r="CZ73" s="25"/>
    </row>
    <row r="74" ht="23.25" spans="1:104">
      <c r="A74" s="8" t="s">
        <v>19</v>
      </c>
      <c r="B74" s="8">
        <v>71</v>
      </c>
      <c r="C74" s="8" t="s">
        <v>19</v>
      </c>
      <c r="D74" s="8">
        <v>340</v>
      </c>
      <c r="E74" s="8" t="s">
        <v>20</v>
      </c>
      <c r="F74" s="8">
        <v>900</v>
      </c>
      <c r="G74" s="8" t="s">
        <v>21</v>
      </c>
      <c r="H74" s="8">
        <v>5046</v>
      </c>
      <c r="I74" s="8">
        <v>-2.50003884937815e-7</v>
      </c>
      <c r="J74" s="8">
        <v>-3.13403399861461e-7</v>
      </c>
      <c r="K74" s="8">
        <v>1.23759459617104</v>
      </c>
      <c r="L74" s="10"/>
      <c r="M74" s="10">
        <f t="shared" si="2"/>
        <v>856.855</v>
      </c>
      <c r="N74" s="18">
        <f t="shared" si="3"/>
        <v>785.855</v>
      </c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5"/>
      <c r="AM74" s="15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5"/>
      <c r="AZ74" s="15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5"/>
      <c r="BM74" s="15"/>
      <c r="BN74" s="21"/>
      <c r="BO74" s="16"/>
      <c r="BP74" s="16"/>
      <c r="BQ74" s="16"/>
      <c r="BR74" s="16"/>
      <c r="BS74" s="16"/>
      <c r="BT74" s="16"/>
      <c r="BU74" s="8"/>
      <c r="BV74" s="8"/>
      <c r="BW74" s="8"/>
      <c r="BX74" s="8"/>
      <c r="BY74" s="25"/>
      <c r="BZ74" s="25"/>
      <c r="CA74" s="25"/>
      <c r="CB74" s="25"/>
      <c r="CC74" s="25"/>
      <c r="CD74" s="25"/>
      <c r="CE74" s="25"/>
      <c r="CF74" s="25"/>
      <c r="CG74" s="25"/>
      <c r="CH74" s="25"/>
      <c r="CI74" s="25"/>
      <c r="CJ74" s="25"/>
      <c r="CK74" s="25"/>
      <c r="CL74" s="25"/>
      <c r="CM74" s="25"/>
      <c r="CN74" s="25"/>
      <c r="CO74" s="25"/>
      <c r="CP74" s="25"/>
      <c r="CQ74" s="25"/>
      <c r="CR74" s="25"/>
      <c r="CS74" s="25"/>
      <c r="CT74" s="25"/>
      <c r="CU74" s="25"/>
      <c r="CV74" s="25"/>
      <c r="CW74" s="25"/>
      <c r="CX74" s="25"/>
      <c r="CY74" s="25"/>
      <c r="CZ74" s="25"/>
    </row>
    <row r="75" ht="23.25" spans="1:104">
      <c r="A75" s="8" t="s">
        <v>19</v>
      </c>
      <c r="B75" s="8">
        <v>71</v>
      </c>
      <c r="C75" s="8" t="s">
        <v>19</v>
      </c>
      <c r="D75" s="8">
        <v>340</v>
      </c>
      <c r="E75" s="8" t="s">
        <v>20</v>
      </c>
      <c r="F75" s="8">
        <v>961</v>
      </c>
      <c r="G75" s="8" t="s">
        <v>21</v>
      </c>
      <c r="H75" s="8">
        <v>5400</v>
      </c>
      <c r="I75" s="8">
        <v>-2.40241901065831e-7</v>
      </c>
      <c r="J75" s="8">
        <v>-3.00997254438446e-7</v>
      </c>
      <c r="K75" s="8">
        <v>1.22774874132137</v>
      </c>
      <c r="L75" s="10"/>
      <c r="M75" s="10">
        <f t="shared" si="2"/>
        <v>915.795</v>
      </c>
      <c r="N75" s="18">
        <f t="shared" si="3"/>
        <v>844.795</v>
      </c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5"/>
      <c r="AM75" s="15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5"/>
      <c r="AZ75" s="15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5"/>
      <c r="BM75" s="15"/>
      <c r="BN75" s="21"/>
      <c r="BO75" s="16"/>
      <c r="BP75" s="16"/>
      <c r="BQ75" s="16"/>
      <c r="BR75" s="16"/>
      <c r="BS75" s="16"/>
      <c r="BT75" s="16"/>
      <c r="BU75" s="8"/>
      <c r="BV75" s="8"/>
      <c r="BW75" s="8"/>
      <c r="BX75" s="8"/>
      <c r="BY75" s="25"/>
      <c r="BZ75" s="25"/>
      <c r="CA75" s="25"/>
      <c r="CB75" s="25"/>
      <c r="CC75" s="25"/>
      <c r="CD75" s="25"/>
      <c r="CE75" s="25"/>
      <c r="CF75" s="25"/>
      <c r="CG75" s="25"/>
      <c r="CH75" s="25"/>
      <c r="CI75" s="25"/>
      <c r="CJ75" s="25"/>
      <c r="CK75" s="25"/>
      <c r="CL75" s="25"/>
      <c r="CM75" s="25"/>
      <c r="CN75" s="25"/>
      <c r="CO75" s="25"/>
      <c r="CP75" s="25"/>
      <c r="CQ75" s="25"/>
      <c r="CR75" s="25"/>
      <c r="CS75" s="25"/>
      <c r="CT75" s="25"/>
      <c r="CU75" s="25"/>
      <c r="CV75" s="25"/>
      <c r="CW75" s="25"/>
      <c r="CX75" s="25"/>
      <c r="CY75" s="25"/>
      <c r="CZ75" s="25"/>
    </row>
    <row r="76" ht="23.25" spans="1:104">
      <c r="A76" s="8" t="s">
        <v>19</v>
      </c>
      <c r="B76" s="8">
        <v>71</v>
      </c>
      <c r="C76" s="8" t="s">
        <v>19</v>
      </c>
      <c r="D76" s="8">
        <v>340</v>
      </c>
      <c r="E76" s="8" t="s">
        <v>20</v>
      </c>
      <c r="F76" s="8">
        <v>1024</v>
      </c>
      <c r="G76" s="8" t="s">
        <v>21</v>
      </c>
      <c r="H76" s="8">
        <v>5766</v>
      </c>
      <c r="I76" s="8">
        <v>-2.28907611216665e-7</v>
      </c>
      <c r="J76" s="8">
        <v>-2.84082872887659e-7</v>
      </c>
      <c r="K76" s="8">
        <v>1.21421038682755</v>
      </c>
      <c r="L76" s="10"/>
      <c r="M76" s="10">
        <f t="shared" si="2"/>
        <v>976.695</v>
      </c>
      <c r="N76" s="18">
        <f t="shared" si="3"/>
        <v>905.695</v>
      </c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5"/>
      <c r="AZ76" s="15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5"/>
      <c r="BM76" s="15"/>
      <c r="BN76" s="21"/>
      <c r="BO76" s="16"/>
      <c r="BP76" s="16"/>
      <c r="BQ76" s="16"/>
      <c r="BR76" s="16"/>
      <c r="BS76" s="16"/>
      <c r="BT76" s="16"/>
      <c r="BU76" s="8"/>
      <c r="BV76" s="8"/>
      <c r="BW76" s="8"/>
      <c r="BX76" s="8"/>
      <c r="BY76" s="25"/>
      <c r="BZ76" s="25"/>
      <c r="CA76" s="25"/>
      <c r="CB76" s="25"/>
      <c r="CC76" s="25"/>
      <c r="CD76" s="25"/>
      <c r="CE76" s="25"/>
      <c r="CF76" s="25"/>
      <c r="CG76" s="25"/>
      <c r="CH76" s="25"/>
      <c r="CI76" s="25"/>
      <c r="CJ76" s="25"/>
      <c r="CK76" s="25"/>
      <c r="CL76" s="25"/>
      <c r="CM76" s="25"/>
      <c r="CN76" s="25"/>
      <c r="CO76" s="25"/>
      <c r="CP76" s="25"/>
      <c r="CQ76" s="25"/>
      <c r="CR76" s="25"/>
      <c r="CS76" s="25"/>
      <c r="CT76" s="25"/>
      <c r="CU76" s="25"/>
      <c r="CV76" s="25"/>
      <c r="CW76" s="25"/>
      <c r="CX76" s="25"/>
      <c r="CY76" s="25"/>
      <c r="CZ76" s="25"/>
    </row>
    <row r="77" ht="23.25" spans="1:104">
      <c r="A77" s="8" t="s">
        <v>19</v>
      </c>
      <c r="B77" s="8">
        <v>71</v>
      </c>
      <c r="C77" s="8" t="s">
        <v>19</v>
      </c>
      <c r="D77" s="8">
        <v>340</v>
      </c>
      <c r="E77" s="8" t="s">
        <v>20</v>
      </c>
      <c r="F77" s="8">
        <v>1089</v>
      </c>
      <c r="G77" s="8" t="s">
        <v>21</v>
      </c>
      <c r="H77" s="8">
        <v>6144</v>
      </c>
      <c r="I77" s="8">
        <v>-2.34571229894337e-7</v>
      </c>
      <c r="J77" s="8">
        <v>-2.85020944212366e-7</v>
      </c>
      <c r="K77" s="8">
        <v>1.21126521700334</v>
      </c>
      <c r="L77" s="10"/>
      <c r="M77" s="10">
        <f t="shared" si="2"/>
        <v>1039.555</v>
      </c>
      <c r="N77" s="18">
        <f t="shared" si="3"/>
        <v>968.555</v>
      </c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5"/>
      <c r="AM77" s="15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5"/>
      <c r="AZ77" s="15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5"/>
      <c r="BM77" s="15"/>
      <c r="BN77" s="21"/>
      <c r="BO77" s="16"/>
      <c r="BP77" s="16"/>
      <c r="BQ77" s="16"/>
      <c r="BR77" s="16"/>
      <c r="BS77" s="16"/>
      <c r="BT77" s="16"/>
      <c r="BU77" s="8"/>
      <c r="BV77" s="8"/>
      <c r="BW77" s="8"/>
      <c r="BX77" s="8"/>
      <c r="BY77" s="25"/>
      <c r="BZ77" s="25"/>
      <c r="CA77" s="25"/>
      <c r="CB77" s="25"/>
      <c r="CC77" s="25"/>
      <c r="CD77" s="25"/>
      <c r="CE77" s="25"/>
      <c r="CF77" s="25"/>
      <c r="CG77" s="25"/>
      <c r="CH77" s="25"/>
      <c r="CI77" s="25"/>
      <c r="CJ77" s="25"/>
      <c r="CK77" s="25"/>
      <c r="CL77" s="25"/>
      <c r="CM77" s="25"/>
      <c r="CN77" s="25"/>
      <c r="CO77" s="25"/>
      <c r="CP77" s="25"/>
      <c r="CQ77" s="25"/>
      <c r="CR77" s="25"/>
      <c r="CS77" s="25"/>
      <c r="CT77" s="25"/>
      <c r="CU77" s="25"/>
      <c r="CV77" s="25"/>
      <c r="CW77" s="25"/>
      <c r="CX77" s="25"/>
      <c r="CY77" s="25"/>
      <c r="CZ77" s="25"/>
    </row>
    <row r="78" ht="23.25" spans="1:104">
      <c r="A78" s="7" t="s">
        <v>23</v>
      </c>
      <c r="B78" s="7"/>
      <c r="C78" s="7"/>
      <c r="D78" s="7"/>
      <c r="E78" s="7"/>
      <c r="F78" s="7"/>
      <c r="G78" s="7"/>
      <c r="H78" s="7"/>
      <c r="I78" s="7"/>
      <c r="J78" s="7"/>
      <c r="K78" s="7"/>
      <c r="L78" s="10"/>
      <c r="M78" s="10"/>
      <c r="N78" s="18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15"/>
      <c r="BM78" s="15"/>
      <c r="BN78" s="21"/>
      <c r="BO78" s="14"/>
      <c r="BP78" s="14"/>
      <c r="BQ78" s="14"/>
      <c r="BR78" s="14"/>
      <c r="BS78" s="14"/>
      <c r="BT78" s="14"/>
      <c r="BU78" s="24"/>
      <c r="BV78" s="24"/>
      <c r="BW78" s="24"/>
      <c r="BX78" s="24"/>
      <c r="BY78" s="25"/>
      <c r="BZ78" s="25"/>
      <c r="CA78" s="25"/>
      <c r="CB78" s="25"/>
      <c r="CC78" s="25"/>
      <c r="CD78" s="25"/>
      <c r="CE78" s="25"/>
      <c r="CF78" s="25"/>
      <c r="CG78" s="25"/>
      <c r="CH78" s="25"/>
      <c r="CI78" s="25"/>
      <c r="CJ78" s="25"/>
      <c r="CK78" s="25"/>
      <c r="CL78" s="25"/>
      <c r="CM78" s="25"/>
      <c r="CN78" s="25"/>
      <c r="CO78" s="25"/>
      <c r="CP78" s="25"/>
      <c r="CQ78" s="25"/>
      <c r="CR78" s="25"/>
      <c r="CS78" s="25"/>
      <c r="CT78" s="25"/>
      <c r="CU78" s="25"/>
      <c r="CV78" s="25"/>
      <c r="CW78" s="25"/>
      <c r="CX78" s="25"/>
      <c r="CY78" s="25"/>
      <c r="CZ78" s="25"/>
    </row>
    <row r="79" ht="23.25" spans="1:104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10"/>
      <c r="M79" s="10"/>
      <c r="N79" s="18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5"/>
      <c r="AM79" s="15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5"/>
      <c r="AZ79" s="15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15"/>
      <c r="BM79" s="15"/>
      <c r="BN79" s="21"/>
      <c r="BO79" s="14"/>
      <c r="BP79" s="14"/>
      <c r="BQ79" s="14"/>
      <c r="BR79" s="14"/>
      <c r="BS79" s="14"/>
      <c r="BT79" s="14"/>
      <c r="BU79" s="24"/>
      <c r="BV79" s="24"/>
      <c r="BW79" s="24"/>
      <c r="BX79" s="24"/>
      <c r="BY79" s="25"/>
      <c r="BZ79" s="25"/>
      <c r="CA79" s="25"/>
      <c r="CB79" s="25"/>
      <c r="CC79" s="25"/>
      <c r="CD79" s="25"/>
      <c r="CE79" s="25"/>
      <c r="CF79" s="25"/>
      <c r="CG79" s="25"/>
      <c r="CH79" s="25"/>
      <c r="CI79" s="25"/>
      <c r="CJ79" s="25"/>
      <c r="CK79" s="25"/>
      <c r="CL79" s="25"/>
      <c r="CM79" s="25"/>
      <c r="CN79" s="25"/>
      <c r="CO79" s="25"/>
      <c r="CP79" s="25"/>
      <c r="CQ79" s="25"/>
      <c r="CR79" s="25"/>
      <c r="CS79" s="25"/>
      <c r="CT79" s="25"/>
      <c r="CU79" s="25"/>
      <c r="CV79" s="25"/>
      <c r="CW79" s="25"/>
      <c r="CX79" s="25"/>
      <c r="CY79" s="25"/>
      <c r="CZ79" s="25"/>
    </row>
    <row r="80" spans="1:104">
      <c r="A80" s="8" t="s">
        <v>7</v>
      </c>
      <c r="B80" s="8" t="s">
        <v>8</v>
      </c>
      <c r="C80" s="8" t="s">
        <v>9</v>
      </c>
      <c r="D80" s="8" t="s">
        <v>10</v>
      </c>
      <c r="E80" s="8" t="s">
        <v>11</v>
      </c>
      <c r="F80" s="8" t="s">
        <v>12</v>
      </c>
      <c r="G80" s="8" t="s">
        <v>13</v>
      </c>
      <c r="H80" s="8" t="s">
        <v>14</v>
      </c>
      <c r="I80" s="8" t="s">
        <v>15</v>
      </c>
      <c r="J80" s="8" t="s">
        <v>16</v>
      </c>
      <c r="K80" s="8" t="s">
        <v>17</v>
      </c>
      <c r="L80" s="10"/>
      <c r="M80" s="10"/>
      <c r="N80" s="18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5"/>
      <c r="AM80" s="15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5"/>
      <c r="AZ80" s="15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5"/>
      <c r="BM80" s="15"/>
      <c r="BN80" s="21"/>
      <c r="BO80" s="15"/>
      <c r="BP80" s="15"/>
      <c r="BQ80" s="15"/>
      <c r="BR80" s="15"/>
      <c r="BS80" s="15"/>
      <c r="BT80" s="15"/>
      <c r="BU80" s="10"/>
      <c r="BV80" s="10"/>
      <c r="BW80" s="10"/>
      <c r="BX80" s="10"/>
      <c r="BY80" s="25"/>
      <c r="BZ80" s="25"/>
      <c r="CA80" s="25"/>
      <c r="CB80" s="25"/>
      <c r="CC80" s="25"/>
      <c r="CD80" s="25"/>
      <c r="CE80" s="25"/>
      <c r="CF80" s="25"/>
      <c r="CG80" s="25"/>
      <c r="CH80" s="25"/>
      <c r="CI80" s="25"/>
      <c r="CJ80" s="25"/>
      <c r="CK80" s="25"/>
      <c r="CL80" s="25"/>
      <c r="CM80" s="25"/>
      <c r="CN80" s="25"/>
      <c r="CO80" s="25"/>
      <c r="CP80" s="25"/>
      <c r="CQ80" s="25"/>
      <c r="CR80" s="25"/>
      <c r="CS80" s="25"/>
      <c r="CT80" s="25"/>
      <c r="CU80" s="25"/>
      <c r="CV80" s="25"/>
      <c r="CW80" s="25"/>
      <c r="CX80" s="25"/>
      <c r="CY80" s="25"/>
      <c r="CZ80" s="25"/>
    </row>
    <row r="81" ht="23.25" spans="1:104">
      <c r="A81" s="8" t="s">
        <v>19</v>
      </c>
      <c r="B81" s="8">
        <v>97</v>
      </c>
      <c r="C81" s="8" t="s">
        <v>19</v>
      </c>
      <c r="D81" s="8">
        <v>340</v>
      </c>
      <c r="E81" s="8" t="s">
        <v>20</v>
      </c>
      <c r="F81" s="8">
        <v>81</v>
      </c>
      <c r="G81" s="8" t="s">
        <v>21</v>
      </c>
      <c r="H81" s="8">
        <v>384</v>
      </c>
      <c r="I81" s="8">
        <v>-0.0568222953709109</v>
      </c>
      <c r="J81" s="8">
        <v>0.44304717399683</v>
      </c>
      <c r="K81" s="8">
        <v>-0.14298293548911</v>
      </c>
      <c r="L81" s="10"/>
      <c r="M81" s="10">
        <f t="shared" ref="M81:M105" si="4">(FLOOR(((SQRT(1+8*F81)-3))/2,0.1)*(FLOOR(((SQRT(1+8*F81)-3))/2,0.1)+1))/2</f>
        <v>68.32</v>
      </c>
      <c r="N81" s="18">
        <f t="shared" ref="N81:N105" si="5">ABS(B81-M81)</f>
        <v>28.68</v>
      </c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5"/>
      <c r="Z81" s="15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5"/>
      <c r="AM81" s="15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5"/>
      <c r="AZ81" s="15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5"/>
      <c r="BM81" s="15"/>
      <c r="BN81" s="21"/>
      <c r="BO81" s="16"/>
      <c r="BP81" s="16"/>
      <c r="BQ81" s="16"/>
      <c r="BR81" s="16"/>
      <c r="BS81" s="16"/>
      <c r="BT81" s="16"/>
      <c r="BU81" s="8"/>
      <c r="BV81" s="8"/>
      <c r="BW81" s="8"/>
      <c r="BX81" s="8"/>
      <c r="BY81" s="25"/>
      <c r="BZ81" s="25"/>
      <c r="CA81" s="25"/>
      <c r="CB81" s="25"/>
      <c r="CC81" s="25"/>
      <c r="CD81" s="25"/>
      <c r="CE81" s="25"/>
      <c r="CF81" s="25"/>
      <c r="CG81" s="25"/>
      <c r="CH81" s="25"/>
      <c r="CI81" s="25"/>
      <c r="CJ81" s="25"/>
      <c r="CK81" s="25"/>
      <c r="CL81" s="25"/>
      <c r="CM81" s="25"/>
      <c r="CN81" s="25"/>
      <c r="CO81" s="25"/>
      <c r="CP81" s="25"/>
      <c r="CQ81" s="25"/>
      <c r="CR81" s="25"/>
      <c r="CS81" s="25"/>
      <c r="CT81" s="25"/>
      <c r="CU81" s="25"/>
      <c r="CV81" s="25"/>
      <c r="CW81" s="25"/>
      <c r="CX81" s="25"/>
      <c r="CY81" s="25"/>
      <c r="CZ81" s="25"/>
    </row>
    <row r="82" ht="23.25" spans="1:104">
      <c r="A82" s="8" t="s">
        <v>19</v>
      </c>
      <c r="B82" s="8">
        <v>97</v>
      </c>
      <c r="C82" s="8" t="s">
        <v>19</v>
      </c>
      <c r="D82" s="8">
        <v>340</v>
      </c>
      <c r="E82" s="8" t="s">
        <v>20</v>
      </c>
      <c r="F82" s="8">
        <v>100</v>
      </c>
      <c r="G82" s="8" t="s">
        <v>21</v>
      </c>
      <c r="H82" s="8">
        <v>486</v>
      </c>
      <c r="I82" s="8">
        <v>-1.46390002064703</v>
      </c>
      <c r="J82" s="8">
        <v>-1.16079184048589</v>
      </c>
      <c r="K82" s="8">
        <v>-0.556644307061955</v>
      </c>
      <c r="L82" s="10"/>
      <c r="M82" s="10">
        <f t="shared" si="4"/>
        <v>85.68</v>
      </c>
      <c r="N82" s="18">
        <f t="shared" si="5"/>
        <v>11.32</v>
      </c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5"/>
      <c r="Z82" s="15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5"/>
      <c r="AM82" s="15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5"/>
      <c r="AZ82" s="15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5"/>
      <c r="BM82" s="15"/>
      <c r="BN82" s="21"/>
      <c r="BO82" s="16"/>
      <c r="BP82" s="16"/>
      <c r="BQ82" s="16"/>
      <c r="BR82" s="16"/>
      <c r="BS82" s="16"/>
      <c r="BT82" s="16"/>
      <c r="BU82" s="8"/>
      <c r="BV82" s="8"/>
      <c r="BW82" s="8"/>
      <c r="BX82" s="8"/>
      <c r="BY82" s="25"/>
      <c r="BZ82" s="25"/>
      <c r="CA82" s="25"/>
      <c r="CB82" s="25"/>
      <c r="CC82" s="25"/>
      <c r="CD82" s="25"/>
      <c r="CE82" s="25"/>
      <c r="CF82" s="25"/>
      <c r="CG82" s="25"/>
      <c r="CH82" s="25"/>
      <c r="CI82" s="25"/>
      <c r="CJ82" s="25"/>
      <c r="CK82" s="25"/>
      <c r="CL82" s="25"/>
      <c r="CM82" s="25"/>
      <c r="CN82" s="25"/>
      <c r="CO82" s="25"/>
      <c r="CP82" s="25"/>
      <c r="CQ82" s="25"/>
      <c r="CR82" s="25"/>
      <c r="CS82" s="25"/>
      <c r="CT82" s="25"/>
      <c r="CU82" s="25"/>
      <c r="CV82" s="25"/>
      <c r="CW82" s="25"/>
      <c r="CX82" s="25"/>
      <c r="CY82" s="25"/>
      <c r="CZ82" s="25"/>
    </row>
    <row r="83" spans="1:104">
      <c r="A83" s="9" t="s">
        <v>19</v>
      </c>
      <c r="B83" s="9">
        <v>97</v>
      </c>
      <c r="C83" s="9" t="s">
        <v>19</v>
      </c>
      <c r="D83" s="9">
        <v>340</v>
      </c>
      <c r="E83" s="9" t="s">
        <v>20</v>
      </c>
      <c r="F83" s="9">
        <v>121</v>
      </c>
      <c r="G83" s="9" t="s">
        <v>21</v>
      </c>
      <c r="H83" s="9">
        <v>600</v>
      </c>
      <c r="I83" s="9">
        <v>-1.60564148661216</v>
      </c>
      <c r="J83" s="9">
        <v>-1.42309404295575</v>
      </c>
      <c r="K83" s="9">
        <v>-0.511061733901969</v>
      </c>
      <c r="L83" s="11"/>
      <c r="M83" s="11">
        <f t="shared" si="4"/>
        <v>105</v>
      </c>
      <c r="N83" s="18">
        <f t="shared" si="5"/>
        <v>8</v>
      </c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5"/>
      <c r="AM83" s="15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5"/>
      <c r="AZ83" s="15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2"/>
      <c r="BM83" s="22"/>
      <c r="BN83" s="21"/>
      <c r="BO83" s="16"/>
      <c r="BP83" s="16"/>
      <c r="BQ83" s="16"/>
      <c r="BR83" s="16"/>
      <c r="BS83" s="16"/>
      <c r="BT83" s="16"/>
      <c r="BU83" s="8"/>
      <c r="BV83" s="8"/>
      <c r="BW83" s="8"/>
      <c r="BX83" s="8"/>
      <c r="BY83" s="25"/>
      <c r="BZ83" s="25"/>
      <c r="CA83" s="25"/>
      <c r="CB83" s="25"/>
      <c r="CC83" s="25"/>
      <c r="CD83" s="25"/>
      <c r="CE83" s="25"/>
      <c r="CF83" s="25"/>
      <c r="CG83" s="25"/>
      <c r="CH83" s="25"/>
      <c r="CI83" s="25"/>
      <c r="CJ83" s="25"/>
      <c r="CK83" s="25"/>
      <c r="CL83" s="25"/>
      <c r="CM83" s="25"/>
      <c r="CN83" s="25"/>
      <c r="CO83" s="25"/>
      <c r="CP83" s="25"/>
      <c r="CQ83" s="25"/>
      <c r="CR83" s="25"/>
      <c r="CS83" s="25"/>
      <c r="CT83" s="25"/>
      <c r="CU83" s="25"/>
      <c r="CV83" s="25"/>
      <c r="CW83" s="25"/>
      <c r="CX83" s="25"/>
      <c r="CY83" s="25"/>
      <c r="CZ83" s="25"/>
    </row>
    <row r="84" spans="1:104">
      <c r="A84" s="8" t="s">
        <v>19</v>
      </c>
      <c r="B84" s="8">
        <v>97</v>
      </c>
      <c r="C84" s="8" t="s">
        <v>19</v>
      </c>
      <c r="D84" s="8">
        <v>340</v>
      </c>
      <c r="E84" s="8" t="s">
        <v>20</v>
      </c>
      <c r="F84" s="8">
        <v>144</v>
      </c>
      <c r="G84" s="8" t="s">
        <v>21</v>
      </c>
      <c r="H84" s="8">
        <v>726</v>
      </c>
      <c r="I84" s="8">
        <v>-1.41267748155596</v>
      </c>
      <c r="J84" s="8">
        <v>-1.13670717186829</v>
      </c>
      <c r="K84" s="8">
        <v>-0.122430087006803</v>
      </c>
      <c r="L84" s="10"/>
      <c r="M84" s="10">
        <f t="shared" si="4"/>
        <v>126.28</v>
      </c>
      <c r="N84" s="18">
        <f t="shared" si="5"/>
        <v>29.28</v>
      </c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5"/>
      <c r="AM84" s="15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5"/>
      <c r="AZ84" s="15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5"/>
      <c r="BM84" s="15"/>
      <c r="BN84" s="21"/>
      <c r="BO84" s="16"/>
      <c r="BP84" s="16"/>
      <c r="BQ84" s="16"/>
      <c r="BR84" s="16"/>
      <c r="BS84" s="16"/>
      <c r="BT84" s="16"/>
      <c r="BU84" s="8"/>
      <c r="BV84" s="8"/>
      <c r="BW84" s="8"/>
      <c r="BX84" s="8"/>
      <c r="BY84" s="25"/>
      <c r="BZ84" s="25"/>
      <c r="CA84" s="25"/>
      <c r="CB84" s="25"/>
      <c r="CC84" s="25"/>
      <c r="CD84" s="25"/>
      <c r="CE84" s="25"/>
      <c r="CF84" s="25"/>
      <c r="CG84" s="25"/>
      <c r="CH84" s="25"/>
      <c r="CI84" s="25"/>
      <c r="CJ84" s="25"/>
      <c r="CK84" s="25"/>
      <c r="CL84" s="25"/>
      <c r="CM84" s="25"/>
      <c r="CN84" s="25"/>
      <c r="CO84" s="25"/>
      <c r="CP84" s="25"/>
      <c r="CQ84" s="25"/>
      <c r="CR84" s="25"/>
      <c r="CS84" s="25"/>
      <c r="CT84" s="25"/>
      <c r="CU84" s="25"/>
      <c r="CV84" s="25"/>
      <c r="CW84" s="25"/>
      <c r="CX84" s="25"/>
      <c r="CY84" s="25"/>
      <c r="CZ84" s="25"/>
    </row>
    <row r="85" spans="1:104">
      <c r="A85" s="8" t="s">
        <v>19</v>
      </c>
      <c r="B85" s="8">
        <v>97</v>
      </c>
      <c r="C85" s="8" t="s">
        <v>19</v>
      </c>
      <c r="D85" s="8">
        <v>340</v>
      </c>
      <c r="E85" s="8" t="s">
        <v>20</v>
      </c>
      <c r="F85" s="8">
        <v>169</v>
      </c>
      <c r="G85" s="8" t="s">
        <v>21</v>
      </c>
      <c r="H85" s="8">
        <v>864</v>
      </c>
      <c r="I85" s="8">
        <v>-1.35320824305102</v>
      </c>
      <c r="J85" s="8">
        <v>-1.13498806721011</v>
      </c>
      <c r="K85" s="8">
        <v>-0.0775193542988167</v>
      </c>
      <c r="L85" s="10"/>
      <c r="M85" s="10">
        <f t="shared" si="4"/>
        <v>149.52</v>
      </c>
      <c r="N85" s="18">
        <f t="shared" si="5"/>
        <v>52.52</v>
      </c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5"/>
      <c r="AM85" s="15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5"/>
      <c r="AZ85" s="15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5"/>
      <c r="BM85" s="15"/>
      <c r="BN85" s="21"/>
      <c r="BO85" s="16"/>
      <c r="BP85" s="16"/>
      <c r="BQ85" s="16"/>
      <c r="BR85" s="16"/>
      <c r="BS85" s="16"/>
      <c r="BT85" s="16"/>
      <c r="BU85" s="8"/>
      <c r="BV85" s="8"/>
      <c r="BW85" s="8"/>
      <c r="BX85" s="8"/>
      <c r="BY85" s="25"/>
      <c r="BZ85" s="25"/>
      <c r="CA85" s="25"/>
      <c r="CB85" s="25"/>
      <c r="CC85" s="25"/>
      <c r="CD85" s="25"/>
      <c r="CE85" s="25"/>
      <c r="CF85" s="25"/>
      <c r="CG85" s="25"/>
      <c r="CH85" s="25"/>
      <c r="CI85" s="25"/>
      <c r="CJ85" s="25"/>
      <c r="CK85" s="25"/>
      <c r="CL85" s="25"/>
      <c r="CM85" s="25"/>
      <c r="CN85" s="25"/>
      <c r="CO85" s="25"/>
      <c r="CP85" s="25"/>
      <c r="CQ85" s="25"/>
      <c r="CR85" s="25"/>
      <c r="CS85" s="25"/>
      <c r="CT85" s="25"/>
      <c r="CU85" s="25"/>
      <c r="CV85" s="25"/>
      <c r="CW85" s="25"/>
      <c r="CX85" s="25"/>
      <c r="CY85" s="25"/>
      <c r="CZ85" s="25"/>
    </row>
    <row r="86" spans="1:104">
      <c r="A86" s="8" t="s">
        <v>19</v>
      </c>
      <c r="B86" s="8">
        <v>97</v>
      </c>
      <c r="C86" s="8" t="s">
        <v>19</v>
      </c>
      <c r="D86" s="8">
        <v>340</v>
      </c>
      <c r="E86" s="8" t="s">
        <v>20</v>
      </c>
      <c r="F86" s="8">
        <v>196</v>
      </c>
      <c r="G86" s="8" t="s">
        <v>21</v>
      </c>
      <c r="H86" s="8">
        <v>1014</v>
      </c>
      <c r="I86" s="8">
        <v>-0.920921345022284</v>
      </c>
      <c r="J86" s="8">
        <v>-0.825641957741942</v>
      </c>
      <c r="K86" s="8">
        <v>0.179906199360857</v>
      </c>
      <c r="L86" s="10"/>
      <c r="M86" s="10">
        <f t="shared" si="4"/>
        <v>176.595</v>
      </c>
      <c r="N86" s="18">
        <f t="shared" si="5"/>
        <v>79.595</v>
      </c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5"/>
      <c r="AM86" s="15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5"/>
      <c r="AZ86" s="15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5"/>
      <c r="BM86" s="15"/>
      <c r="BN86" s="21"/>
      <c r="BO86" s="16"/>
      <c r="BP86" s="16"/>
      <c r="BQ86" s="16"/>
      <c r="BR86" s="16"/>
      <c r="BS86" s="16"/>
      <c r="BT86" s="16"/>
      <c r="BU86" s="8"/>
      <c r="BV86" s="8"/>
      <c r="BW86" s="8"/>
      <c r="BX86" s="8"/>
      <c r="BY86" s="25"/>
      <c r="BZ86" s="25"/>
      <c r="CA86" s="25"/>
      <c r="CB86" s="25"/>
      <c r="CC86" s="25"/>
      <c r="CD86" s="25"/>
      <c r="CE86" s="25"/>
      <c r="CF86" s="25"/>
      <c r="CG86" s="25"/>
      <c r="CH86" s="25"/>
      <c r="CI86" s="25"/>
      <c r="CJ86" s="25"/>
      <c r="CK86" s="25"/>
      <c r="CL86" s="25"/>
      <c r="CM86" s="25"/>
      <c r="CN86" s="25"/>
      <c r="CO86" s="25"/>
      <c r="CP86" s="25"/>
      <c r="CQ86" s="25"/>
      <c r="CR86" s="25"/>
      <c r="CS86" s="25"/>
      <c r="CT86" s="25"/>
      <c r="CU86" s="25"/>
      <c r="CV86" s="25"/>
      <c r="CW86" s="25"/>
      <c r="CX86" s="25"/>
      <c r="CY86" s="25"/>
      <c r="CZ86" s="25"/>
    </row>
    <row r="87" spans="1:104">
      <c r="A87" s="8" t="s">
        <v>19</v>
      </c>
      <c r="B87" s="8">
        <v>97</v>
      </c>
      <c r="C87" s="8" t="s">
        <v>19</v>
      </c>
      <c r="D87" s="8">
        <v>340</v>
      </c>
      <c r="E87" s="8" t="s">
        <v>20</v>
      </c>
      <c r="F87" s="8">
        <v>225</v>
      </c>
      <c r="G87" s="8" t="s">
        <v>21</v>
      </c>
      <c r="H87" s="8">
        <v>1176</v>
      </c>
      <c r="I87" s="8">
        <v>-0.980156546538119</v>
      </c>
      <c r="J87" s="8">
        <v>-0.878220633294979</v>
      </c>
      <c r="K87" s="8">
        <v>0.168127465659724</v>
      </c>
      <c r="L87" s="10"/>
      <c r="M87" s="10">
        <f t="shared" si="4"/>
        <v>203.895</v>
      </c>
      <c r="N87" s="18">
        <f t="shared" si="5"/>
        <v>106.895</v>
      </c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5"/>
      <c r="AM87" s="15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5"/>
      <c r="AZ87" s="15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5"/>
      <c r="BM87" s="15"/>
      <c r="BN87" s="21"/>
      <c r="BO87" s="16"/>
      <c r="BP87" s="16"/>
      <c r="BQ87" s="16"/>
      <c r="BR87" s="16"/>
      <c r="BS87" s="16"/>
      <c r="BT87" s="16"/>
      <c r="BU87" s="8"/>
      <c r="BV87" s="8"/>
      <c r="BW87" s="8"/>
      <c r="BX87" s="8"/>
      <c r="BY87" s="25"/>
      <c r="BZ87" s="25"/>
      <c r="CA87" s="25"/>
      <c r="CB87" s="25"/>
      <c r="CC87" s="25"/>
      <c r="CD87" s="25"/>
      <c r="CE87" s="25"/>
      <c r="CF87" s="25"/>
      <c r="CG87" s="25"/>
      <c r="CH87" s="25"/>
      <c r="CI87" s="25"/>
      <c r="CJ87" s="25"/>
      <c r="CK87" s="25"/>
      <c r="CL87" s="25"/>
      <c r="CM87" s="25"/>
      <c r="CN87" s="25"/>
      <c r="CO87" s="25"/>
      <c r="CP87" s="25"/>
      <c r="CQ87" s="25"/>
      <c r="CR87" s="25"/>
      <c r="CS87" s="25"/>
      <c r="CT87" s="25"/>
      <c r="CU87" s="25"/>
      <c r="CV87" s="25"/>
      <c r="CW87" s="25"/>
      <c r="CX87" s="25"/>
      <c r="CY87" s="25"/>
      <c r="CZ87" s="25"/>
    </row>
    <row r="88" spans="1:104">
      <c r="A88" s="8" t="s">
        <v>19</v>
      </c>
      <c r="B88" s="8">
        <v>97</v>
      </c>
      <c r="C88" s="8" t="s">
        <v>19</v>
      </c>
      <c r="D88" s="8">
        <v>340</v>
      </c>
      <c r="E88" s="8" t="s">
        <v>20</v>
      </c>
      <c r="F88" s="8">
        <v>256</v>
      </c>
      <c r="G88" s="8" t="s">
        <v>21</v>
      </c>
      <c r="H88" s="8">
        <v>1350</v>
      </c>
      <c r="I88" s="8">
        <v>-0.620646708422954</v>
      </c>
      <c r="J88" s="8">
        <v>-0.591559203328662</v>
      </c>
      <c r="K88" s="8">
        <v>0.437013905974273</v>
      </c>
      <c r="L88" s="10"/>
      <c r="M88" s="10">
        <f t="shared" si="4"/>
        <v>233.155</v>
      </c>
      <c r="N88" s="18">
        <f t="shared" si="5"/>
        <v>136.155</v>
      </c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5"/>
      <c r="AM88" s="15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5"/>
      <c r="AZ88" s="15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5"/>
      <c r="BM88" s="15"/>
      <c r="BN88" s="21"/>
      <c r="BO88" s="16"/>
      <c r="BP88" s="16"/>
      <c r="BQ88" s="16"/>
      <c r="BR88" s="16"/>
      <c r="BS88" s="16"/>
      <c r="BT88" s="16"/>
      <c r="BU88" s="8"/>
      <c r="BV88" s="8"/>
      <c r="BW88" s="8"/>
      <c r="BX88" s="8"/>
      <c r="BY88" s="25"/>
      <c r="BZ88" s="25"/>
      <c r="CA88" s="25"/>
      <c r="CB88" s="25"/>
      <c r="CC88" s="25"/>
      <c r="CD88" s="25"/>
      <c r="CE88" s="25"/>
      <c r="CF88" s="25"/>
      <c r="CG88" s="25"/>
      <c r="CH88" s="25"/>
      <c r="CI88" s="25"/>
      <c r="CJ88" s="25"/>
      <c r="CK88" s="25"/>
      <c r="CL88" s="25"/>
      <c r="CM88" s="25"/>
      <c r="CN88" s="25"/>
      <c r="CO88" s="25"/>
      <c r="CP88" s="25"/>
      <c r="CQ88" s="25"/>
      <c r="CR88" s="25"/>
      <c r="CS88" s="25"/>
      <c r="CT88" s="25"/>
      <c r="CU88" s="25"/>
      <c r="CV88" s="25"/>
      <c r="CW88" s="25"/>
      <c r="CX88" s="25"/>
      <c r="CY88" s="25"/>
      <c r="CZ88" s="25"/>
    </row>
    <row r="89" spans="1:104">
      <c r="A89" s="8" t="s">
        <v>19</v>
      </c>
      <c r="B89" s="8">
        <v>97</v>
      </c>
      <c r="C89" s="8" t="s">
        <v>19</v>
      </c>
      <c r="D89" s="8">
        <v>340</v>
      </c>
      <c r="E89" s="8" t="s">
        <v>20</v>
      </c>
      <c r="F89" s="8">
        <v>289</v>
      </c>
      <c r="G89" s="8" t="s">
        <v>21</v>
      </c>
      <c r="H89" s="8">
        <v>1536</v>
      </c>
      <c r="I89" s="8">
        <v>-0.669727371082738</v>
      </c>
      <c r="J89" s="8">
        <v>-0.629039590483159</v>
      </c>
      <c r="K89" s="8">
        <v>0.475984351802065</v>
      </c>
      <c r="L89" s="10"/>
      <c r="M89" s="10">
        <f t="shared" si="4"/>
        <v>264.375</v>
      </c>
      <c r="N89" s="18">
        <f t="shared" si="5"/>
        <v>167.375</v>
      </c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5"/>
      <c r="AM89" s="15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5"/>
      <c r="AZ89" s="15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5"/>
      <c r="BM89" s="15"/>
      <c r="BN89" s="21"/>
      <c r="BO89" s="16"/>
      <c r="BP89" s="16"/>
      <c r="BQ89" s="16"/>
      <c r="BR89" s="16"/>
      <c r="BS89" s="16"/>
      <c r="BT89" s="16"/>
      <c r="BU89" s="8"/>
      <c r="BV89" s="8"/>
      <c r="BW89" s="8"/>
      <c r="BX89" s="8"/>
      <c r="BY89" s="25"/>
      <c r="BZ89" s="25"/>
      <c r="CA89" s="25"/>
      <c r="CB89" s="25"/>
      <c r="CC89" s="25"/>
      <c r="CD89" s="25"/>
      <c r="CE89" s="25"/>
      <c r="CF89" s="25"/>
      <c r="CG89" s="25"/>
      <c r="CH89" s="25"/>
      <c r="CI89" s="25"/>
      <c r="CJ89" s="25"/>
      <c r="CK89" s="25"/>
      <c r="CL89" s="25"/>
      <c r="CM89" s="25"/>
      <c r="CN89" s="25"/>
      <c r="CO89" s="25"/>
      <c r="CP89" s="25"/>
      <c r="CQ89" s="25"/>
      <c r="CR89" s="25"/>
      <c r="CS89" s="25"/>
      <c r="CT89" s="25"/>
      <c r="CU89" s="25"/>
      <c r="CV89" s="25"/>
      <c r="CW89" s="25"/>
      <c r="CX89" s="25"/>
      <c r="CY89" s="25"/>
      <c r="CZ89" s="25"/>
    </row>
    <row r="90" spans="1:104">
      <c r="A90" s="8" t="s">
        <v>19</v>
      </c>
      <c r="B90" s="8">
        <v>97</v>
      </c>
      <c r="C90" s="8" t="s">
        <v>19</v>
      </c>
      <c r="D90" s="8">
        <v>340</v>
      </c>
      <c r="E90" s="8" t="s">
        <v>20</v>
      </c>
      <c r="F90" s="8">
        <v>324</v>
      </c>
      <c r="G90" s="8" t="s">
        <v>21</v>
      </c>
      <c r="H90" s="8">
        <v>1734</v>
      </c>
      <c r="I90" s="8">
        <v>-0.337227499592861</v>
      </c>
      <c r="J90" s="8">
        <v>-0.312269424778114</v>
      </c>
      <c r="K90" s="8">
        <v>1.13149563082426</v>
      </c>
      <c r="L90" s="10"/>
      <c r="M90" s="10">
        <f t="shared" si="4"/>
        <v>297.555</v>
      </c>
      <c r="N90" s="18">
        <f t="shared" si="5"/>
        <v>200.555</v>
      </c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5"/>
      <c r="AM90" s="15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5"/>
      <c r="AZ90" s="15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5"/>
      <c r="BM90" s="15"/>
      <c r="BN90" s="21"/>
      <c r="BO90" s="16"/>
      <c r="BP90" s="16"/>
      <c r="BQ90" s="16"/>
      <c r="BR90" s="16"/>
      <c r="BS90" s="16"/>
      <c r="BT90" s="16"/>
      <c r="BU90" s="8"/>
      <c r="BV90" s="8"/>
      <c r="BW90" s="8"/>
      <c r="BX90" s="8"/>
      <c r="BY90" s="25"/>
      <c r="BZ90" s="25"/>
      <c r="CA90" s="25"/>
      <c r="CB90" s="25"/>
      <c r="CC90" s="25"/>
      <c r="CD90" s="25"/>
      <c r="CE90" s="25"/>
      <c r="CF90" s="25"/>
      <c r="CG90" s="25"/>
      <c r="CH90" s="25"/>
      <c r="CI90" s="25"/>
      <c r="CJ90" s="25"/>
      <c r="CK90" s="25"/>
      <c r="CL90" s="25"/>
      <c r="CM90" s="25"/>
      <c r="CN90" s="25"/>
      <c r="CO90" s="25"/>
      <c r="CP90" s="25"/>
      <c r="CQ90" s="25"/>
      <c r="CR90" s="25"/>
      <c r="CS90" s="25"/>
      <c r="CT90" s="25"/>
      <c r="CU90" s="25"/>
      <c r="CV90" s="25"/>
      <c r="CW90" s="25"/>
      <c r="CX90" s="25"/>
      <c r="CY90" s="25"/>
      <c r="CZ90" s="25"/>
    </row>
    <row r="91" spans="1:104">
      <c r="A91" s="8" t="s">
        <v>19</v>
      </c>
      <c r="B91" s="8">
        <v>97</v>
      </c>
      <c r="C91" s="8" t="s">
        <v>19</v>
      </c>
      <c r="D91" s="8">
        <v>340</v>
      </c>
      <c r="E91" s="8" t="s">
        <v>20</v>
      </c>
      <c r="F91" s="8">
        <v>361</v>
      </c>
      <c r="G91" s="8" t="s">
        <v>21</v>
      </c>
      <c r="H91" s="8">
        <v>1944</v>
      </c>
      <c r="I91" s="8">
        <v>-0.0541376091019056</v>
      </c>
      <c r="J91" s="8">
        <v>-0.0522020394267416</v>
      </c>
      <c r="K91" s="8">
        <v>1.98191840254399</v>
      </c>
      <c r="L91" s="10"/>
      <c r="M91" s="10">
        <f t="shared" si="4"/>
        <v>332.695</v>
      </c>
      <c r="N91" s="18">
        <f t="shared" si="5"/>
        <v>235.695</v>
      </c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5"/>
      <c r="AM91" s="15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5"/>
      <c r="AZ91" s="15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5"/>
      <c r="BM91" s="15"/>
      <c r="BN91" s="21"/>
      <c r="BO91" s="16"/>
      <c r="BP91" s="16"/>
      <c r="BQ91" s="16"/>
      <c r="BR91" s="16"/>
      <c r="BS91" s="16"/>
      <c r="BT91" s="16"/>
      <c r="BU91" s="8"/>
      <c r="BV91" s="8"/>
      <c r="BW91" s="8"/>
      <c r="BX91" s="8"/>
      <c r="BY91" s="25"/>
      <c r="BZ91" s="25"/>
      <c r="CA91" s="25"/>
      <c r="CB91" s="25"/>
      <c r="CC91" s="25"/>
      <c r="CD91" s="25"/>
      <c r="CE91" s="25"/>
      <c r="CF91" s="25"/>
      <c r="CG91" s="25"/>
      <c r="CH91" s="25"/>
      <c r="CI91" s="25"/>
      <c r="CJ91" s="25"/>
      <c r="CK91" s="25"/>
      <c r="CL91" s="25"/>
      <c r="CM91" s="25"/>
      <c r="CN91" s="25"/>
      <c r="CO91" s="25"/>
      <c r="CP91" s="25"/>
      <c r="CQ91" s="25"/>
      <c r="CR91" s="25"/>
      <c r="CS91" s="25"/>
      <c r="CT91" s="25"/>
      <c r="CU91" s="25"/>
      <c r="CV91" s="25"/>
      <c r="CW91" s="25"/>
      <c r="CX91" s="25"/>
      <c r="CY91" s="25"/>
      <c r="CZ91" s="25"/>
    </row>
    <row r="92" spans="1:104">
      <c r="A92" s="8" t="s">
        <v>19</v>
      </c>
      <c r="B92" s="8">
        <v>97</v>
      </c>
      <c r="C92" s="8" t="s">
        <v>19</v>
      </c>
      <c r="D92" s="8">
        <v>340</v>
      </c>
      <c r="E92" s="8" t="s">
        <v>20</v>
      </c>
      <c r="F92" s="8">
        <v>400</v>
      </c>
      <c r="G92" s="8" t="s">
        <v>21</v>
      </c>
      <c r="H92" s="8">
        <v>2166</v>
      </c>
      <c r="I92" s="8">
        <v>2.67360763716471e-6</v>
      </c>
      <c r="J92" s="8">
        <v>-2.63079407531813e-6</v>
      </c>
      <c r="K92" s="8">
        <v>1.91657904610443</v>
      </c>
      <c r="L92" s="10"/>
      <c r="M92" s="10">
        <f t="shared" si="4"/>
        <v>369.795</v>
      </c>
      <c r="N92" s="18">
        <f t="shared" si="5"/>
        <v>272.795</v>
      </c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5"/>
      <c r="AM92" s="15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5"/>
      <c r="AZ92" s="15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5"/>
      <c r="BM92" s="15"/>
      <c r="BN92" s="21"/>
      <c r="BO92" s="16"/>
      <c r="BP92" s="16"/>
      <c r="BQ92" s="16"/>
      <c r="BR92" s="16"/>
      <c r="BS92" s="16"/>
      <c r="BT92" s="16"/>
      <c r="BU92" s="8"/>
      <c r="BV92" s="8"/>
      <c r="BW92" s="8"/>
      <c r="BX92" s="8"/>
      <c r="BY92" s="25"/>
      <c r="BZ92" s="25"/>
      <c r="CA92" s="25"/>
      <c r="CB92" s="25"/>
      <c r="CC92" s="25"/>
      <c r="CD92" s="25"/>
      <c r="CE92" s="25"/>
      <c r="CF92" s="25"/>
      <c r="CG92" s="25"/>
      <c r="CH92" s="25"/>
      <c r="CI92" s="25"/>
      <c r="CJ92" s="25"/>
      <c r="CK92" s="25"/>
      <c r="CL92" s="25"/>
      <c r="CM92" s="25"/>
      <c r="CN92" s="25"/>
      <c r="CO92" s="25"/>
      <c r="CP92" s="25"/>
      <c r="CQ92" s="25"/>
      <c r="CR92" s="25"/>
      <c r="CS92" s="25"/>
      <c r="CT92" s="25"/>
      <c r="CU92" s="25"/>
      <c r="CV92" s="25"/>
      <c r="CW92" s="25"/>
      <c r="CX92" s="25"/>
      <c r="CY92" s="25"/>
      <c r="CZ92" s="25"/>
    </row>
    <row r="93" spans="1:104">
      <c r="A93" s="8" t="s">
        <v>19</v>
      </c>
      <c r="B93" s="8">
        <v>97</v>
      </c>
      <c r="C93" s="8" t="s">
        <v>19</v>
      </c>
      <c r="D93" s="8">
        <v>340</v>
      </c>
      <c r="E93" s="8" t="s">
        <v>20</v>
      </c>
      <c r="F93" s="8">
        <v>441</v>
      </c>
      <c r="G93" s="8" t="s">
        <v>21</v>
      </c>
      <c r="H93" s="8">
        <v>2400</v>
      </c>
      <c r="I93" s="8">
        <v>-1.70701375716539e-7</v>
      </c>
      <c r="J93" s="8">
        <v>-1.05492505766011e-6</v>
      </c>
      <c r="K93" s="8">
        <v>1.60066956258962</v>
      </c>
      <c r="L93" s="10"/>
      <c r="M93" s="10">
        <f t="shared" si="4"/>
        <v>411.72</v>
      </c>
      <c r="N93" s="18">
        <f t="shared" si="5"/>
        <v>314.72</v>
      </c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5"/>
      <c r="AM93" s="15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5"/>
      <c r="AZ93" s="15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5"/>
      <c r="BM93" s="15"/>
      <c r="BN93" s="21"/>
      <c r="BO93" s="16"/>
      <c r="BP93" s="16"/>
      <c r="BQ93" s="16"/>
      <c r="BR93" s="16"/>
      <c r="BS93" s="16"/>
      <c r="BT93" s="16"/>
      <c r="BU93" s="8"/>
      <c r="BV93" s="8"/>
      <c r="BW93" s="8"/>
      <c r="BX93" s="8"/>
      <c r="BY93" s="25"/>
      <c r="BZ93" s="25"/>
      <c r="CA93" s="25"/>
      <c r="CB93" s="25"/>
      <c r="CC93" s="25"/>
      <c r="CD93" s="25"/>
      <c r="CE93" s="25"/>
      <c r="CF93" s="25"/>
      <c r="CG93" s="25"/>
      <c r="CH93" s="25"/>
      <c r="CI93" s="25"/>
      <c r="CJ93" s="25"/>
      <c r="CK93" s="25"/>
      <c r="CL93" s="25"/>
      <c r="CM93" s="25"/>
      <c r="CN93" s="25"/>
      <c r="CO93" s="25"/>
      <c r="CP93" s="25"/>
      <c r="CQ93" s="25"/>
      <c r="CR93" s="25"/>
      <c r="CS93" s="25"/>
      <c r="CT93" s="25"/>
      <c r="CU93" s="25"/>
      <c r="CV93" s="25"/>
      <c r="CW93" s="25"/>
      <c r="CX93" s="25"/>
      <c r="CY93" s="25"/>
      <c r="CZ93" s="25"/>
    </row>
    <row r="94" spans="1:104">
      <c r="A94" s="8" t="s">
        <v>19</v>
      </c>
      <c r="B94" s="8">
        <v>97</v>
      </c>
      <c r="C94" s="8" t="s">
        <v>19</v>
      </c>
      <c r="D94" s="8">
        <v>340</v>
      </c>
      <c r="E94" s="8" t="s">
        <v>20</v>
      </c>
      <c r="F94" s="8">
        <v>484</v>
      </c>
      <c r="G94" s="8" t="s">
        <v>21</v>
      </c>
      <c r="H94" s="8">
        <v>2646</v>
      </c>
      <c r="I94" s="8">
        <v>-7.91111820458308e-7</v>
      </c>
      <c r="J94" s="8">
        <v>-1.23081543848898e-6</v>
      </c>
      <c r="K94" s="8">
        <v>1.56905519792807</v>
      </c>
      <c r="L94" s="10"/>
      <c r="M94" s="10">
        <f t="shared" si="4"/>
        <v>452.88</v>
      </c>
      <c r="N94" s="18">
        <f t="shared" si="5"/>
        <v>355.88</v>
      </c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5"/>
      <c r="AM94" s="15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5"/>
      <c r="AZ94" s="15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5"/>
      <c r="BM94" s="15"/>
      <c r="BN94" s="21"/>
      <c r="BO94" s="16"/>
      <c r="BP94" s="16"/>
      <c r="BQ94" s="16"/>
      <c r="BR94" s="16"/>
      <c r="BS94" s="16"/>
      <c r="BT94" s="16"/>
      <c r="BU94" s="8"/>
      <c r="BV94" s="8"/>
      <c r="BW94" s="8"/>
      <c r="BX94" s="8"/>
      <c r="BY94" s="25"/>
      <c r="BZ94" s="25"/>
      <c r="CA94" s="25"/>
      <c r="CB94" s="25"/>
      <c r="CC94" s="25"/>
      <c r="CD94" s="25"/>
      <c r="CE94" s="25"/>
      <c r="CF94" s="25"/>
      <c r="CG94" s="25"/>
      <c r="CH94" s="25"/>
      <c r="CI94" s="25"/>
      <c r="CJ94" s="25"/>
      <c r="CK94" s="25"/>
      <c r="CL94" s="25"/>
      <c r="CM94" s="25"/>
      <c r="CN94" s="25"/>
      <c r="CO94" s="25"/>
      <c r="CP94" s="25"/>
      <c r="CQ94" s="25"/>
      <c r="CR94" s="25"/>
      <c r="CS94" s="25"/>
      <c r="CT94" s="25"/>
      <c r="CU94" s="25"/>
      <c r="CV94" s="25"/>
      <c r="CW94" s="25"/>
      <c r="CX94" s="25"/>
      <c r="CY94" s="25"/>
      <c r="CZ94" s="25"/>
    </row>
    <row r="95" spans="1:104">
      <c r="A95" s="8" t="s">
        <v>19</v>
      </c>
      <c r="B95" s="8">
        <v>97</v>
      </c>
      <c r="C95" s="8" t="s">
        <v>19</v>
      </c>
      <c r="D95" s="8">
        <v>340</v>
      </c>
      <c r="E95" s="8" t="s">
        <v>20</v>
      </c>
      <c r="F95" s="8">
        <v>529</v>
      </c>
      <c r="G95" s="8" t="s">
        <v>21</v>
      </c>
      <c r="H95" s="8">
        <v>2904</v>
      </c>
      <c r="I95" s="8">
        <v>-3.04604530786845e-7</v>
      </c>
      <c r="J95" s="8">
        <v>-6.04407558568005e-7</v>
      </c>
      <c r="K95" s="8">
        <v>1.44599769631645</v>
      </c>
      <c r="L95" s="10"/>
      <c r="M95" s="10">
        <f t="shared" si="4"/>
        <v>496</v>
      </c>
      <c r="N95" s="18">
        <f t="shared" si="5"/>
        <v>399</v>
      </c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5"/>
      <c r="AM95" s="15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5"/>
      <c r="AZ95" s="15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5"/>
      <c r="BM95" s="15"/>
      <c r="BN95" s="21"/>
      <c r="BO95" s="16"/>
      <c r="BP95" s="16"/>
      <c r="BQ95" s="16"/>
      <c r="BR95" s="16"/>
      <c r="BS95" s="16"/>
      <c r="BT95" s="16"/>
      <c r="BU95" s="8"/>
      <c r="BV95" s="8"/>
      <c r="BW95" s="8"/>
      <c r="BX95" s="8"/>
      <c r="BY95" s="25"/>
      <c r="BZ95" s="25"/>
      <c r="CA95" s="25"/>
      <c r="CB95" s="25"/>
      <c r="CC95" s="25"/>
      <c r="CD95" s="25"/>
      <c r="CE95" s="25"/>
      <c r="CF95" s="25"/>
      <c r="CG95" s="25"/>
      <c r="CH95" s="25"/>
      <c r="CI95" s="25"/>
      <c r="CJ95" s="25"/>
      <c r="CK95" s="25"/>
      <c r="CL95" s="25"/>
      <c r="CM95" s="25"/>
      <c r="CN95" s="25"/>
      <c r="CO95" s="25"/>
      <c r="CP95" s="25"/>
      <c r="CQ95" s="25"/>
      <c r="CR95" s="25"/>
      <c r="CS95" s="25"/>
      <c r="CT95" s="25"/>
      <c r="CU95" s="25"/>
      <c r="CV95" s="25"/>
      <c r="CW95" s="25"/>
      <c r="CX95" s="25"/>
      <c r="CY95" s="25"/>
      <c r="CZ95" s="25"/>
    </row>
    <row r="96" spans="1:104">
      <c r="A96" s="8" t="s">
        <v>19</v>
      </c>
      <c r="B96" s="8">
        <v>97</v>
      </c>
      <c r="C96" s="8" t="s">
        <v>19</v>
      </c>
      <c r="D96" s="8">
        <v>340</v>
      </c>
      <c r="E96" s="8" t="s">
        <v>20</v>
      </c>
      <c r="F96" s="8">
        <v>576</v>
      </c>
      <c r="G96" s="8" t="s">
        <v>21</v>
      </c>
      <c r="H96" s="8">
        <v>3174</v>
      </c>
      <c r="I96" s="8">
        <v>-5.68668783902575e-7</v>
      </c>
      <c r="J96" s="8">
        <v>-7.02241167069164e-7</v>
      </c>
      <c r="K96" s="8">
        <v>1.41982769933069</v>
      </c>
      <c r="L96" s="10"/>
      <c r="M96" s="10">
        <f t="shared" si="4"/>
        <v>541.08</v>
      </c>
      <c r="N96" s="18">
        <f t="shared" si="5"/>
        <v>444.08</v>
      </c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5"/>
      <c r="AM96" s="15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5"/>
      <c r="AZ96" s="15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5"/>
      <c r="BM96" s="15"/>
      <c r="BN96" s="21"/>
      <c r="BO96" s="16"/>
      <c r="BP96" s="16"/>
      <c r="BQ96" s="16"/>
      <c r="BR96" s="16"/>
      <c r="BS96" s="16"/>
      <c r="BT96" s="16"/>
      <c r="BU96" s="8"/>
      <c r="BV96" s="8"/>
      <c r="BW96" s="8"/>
      <c r="BX96" s="8"/>
      <c r="BY96" s="25"/>
      <c r="BZ96" s="25"/>
      <c r="CA96" s="25"/>
      <c r="CB96" s="25"/>
      <c r="CC96" s="25"/>
      <c r="CD96" s="25"/>
      <c r="CE96" s="25"/>
      <c r="CF96" s="25"/>
      <c r="CG96" s="25"/>
      <c r="CH96" s="25"/>
      <c r="CI96" s="25"/>
      <c r="CJ96" s="25"/>
      <c r="CK96" s="25"/>
      <c r="CL96" s="25"/>
      <c r="CM96" s="25"/>
      <c r="CN96" s="25"/>
      <c r="CO96" s="25"/>
      <c r="CP96" s="25"/>
      <c r="CQ96" s="25"/>
      <c r="CR96" s="25"/>
      <c r="CS96" s="25"/>
      <c r="CT96" s="25"/>
      <c r="CU96" s="25"/>
      <c r="CV96" s="25"/>
      <c r="CW96" s="25"/>
      <c r="CX96" s="25"/>
      <c r="CY96" s="25"/>
      <c r="CZ96" s="25"/>
    </row>
    <row r="97" spans="1:104">
      <c r="A97" s="8" t="s">
        <v>19</v>
      </c>
      <c r="B97" s="8">
        <v>97</v>
      </c>
      <c r="C97" s="8" t="s">
        <v>19</v>
      </c>
      <c r="D97" s="8">
        <v>340</v>
      </c>
      <c r="E97" s="8" t="s">
        <v>20</v>
      </c>
      <c r="F97" s="8">
        <v>625</v>
      </c>
      <c r="G97" s="8" t="s">
        <v>21</v>
      </c>
      <c r="H97" s="8">
        <v>3456</v>
      </c>
      <c r="I97" s="8">
        <v>-4.68364027716385e-7</v>
      </c>
      <c r="J97" s="8">
        <v>-5.53811145627558e-7</v>
      </c>
      <c r="K97" s="8">
        <v>1.35954241226433</v>
      </c>
      <c r="L97" s="10"/>
      <c r="M97" s="10">
        <f t="shared" si="4"/>
        <v>588.12</v>
      </c>
      <c r="N97" s="18">
        <f t="shared" si="5"/>
        <v>491.12</v>
      </c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5"/>
      <c r="AM97" s="15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5"/>
      <c r="AZ97" s="15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5"/>
      <c r="BM97" s="15"/>
      <c r="BN97" s="21"/>
      <c r="BO97" s="16"/>
      <c r="BP97" s="16"/>
      <c r="BQ97" s="16"/>
      <c r="BR97" s="16"/>
      <c r="BS97" s="16"/>
      <c r="BT97" s="16"/>
      <c r="BU97" s="8"/>
      <c r="BV97" s="8"/>
      <c r="BW97" s="8"/>
      <c r="BX97" s="8"/>
      <c r="BY97" s="25"/>
      <c r="BZ97" s="25"/>
      <c r="CA97" s="25"/>
      <c r="CB97" s="25"/>
      <c r="CC97" s="25"/>
      <c r="CD97" s="25"/>
      <c r="CE97" s="25"/>
      <c r="CF97" s="25"/>
      <c r="CG97" s="25"/>
      <c r="CH97" s="25"/>
      <c r="CI97" s="25"/>
      <c r="CJ97" s="25"/>
      <c r="CK97" s="25"/>
      <c r="CL97" s="25"/>
      <c r="CM97" s="25"/>
      <c r="CN97" s="25"/>
      <c r="CO97" s="25"/>
      <c r="CP97" s="25"/>
      <c r="CQ97" s="25"/>
      <c r="CR97" s="25"/>
      <c r="CS97" s="25"/>
      <c r="CT97" s="25"/>
      <c r="CU97" s="25"/>
      <c r="CV97" s="25"/>
      <c r="CW97" s="25"/>
      <c r="CX97" s="25"/>
      <c r="CY97" s="25"/>
      <c r="CZ97" s="25"/>
    </row>
    <row r="98" spans="1:104">
      <c r="A98" s="8" t="s">
        <v>19</v>
      </c>
      <c r="B98" s="8">
        <v>97</v>
      </c>
      <c r="C98" s="8" t="s">
        <v>19</v>
      </c>
      <c r="D98" s="8">
        <v>340</v>
      </c>
      <c r="E98" s="8" t="s">
        <v>20</v>
      </c>
      <c r="F98" s="8">
        <v>676</v>
      </c>
      <c r="G98" s="8" t="s">
        <v>21</v>
      </c>
      <c r="H98" s="8">
        <v>3750</v>
      </c>
      <c r="I98" s="8">
        <v>-3.91820345175781e-7</v>
      </c>
      <c r="J98" s="8">
        <v>-4.67802210314575e-7</v>
      </c>
      <c r="K98" s="8">
        <v>1.3227943595807</v>
      </c>
      <c r="L98" s="10"/>
      <c r="M98" s="10">
        <f t="shared" si="4"/>
        <v>637.12</v>
      </c>
      <c r="N98" s="18">
        <f t="shared" si="5"/>
        <v>540.12</v>
      </c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5"/>
      <c r="AM98" s="15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5"/>
      <c r="AZ98" s="15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5"/>
      <c r="BM98" s="15"/>
      <c r="BN98" s="21"/>
      <c r="BO98" s="16"/>
      <c r="BP98" s="16"/>
      <c r="BQ98" s="16"/>
      <c r="BR98" s="16"/>
      <c r="BS98" s="16"/>
      <c r="BT98" s="16"/>
      <c r="BU98" s="8"/>
      <c r="BV98" s="8"/>
      <c r="BW98" s="8"/>
      <c r="BX98" s="8"/>
      <c r="BY98" s="25"/>
      <c r="BZ98" s="25"/>
      <c r="CA98" s="25"/>
      <c r="CB98" s="25"/>
      <c r="CC98" s="25"/>
      <c r="CD98" s="25"/>
      <c r="CE98" s="25"/>
      <c r="CF98" s="25"/>
      <c r="CG98" s="25"/>
      <c r="CH98" s="25"/>
      <c r="CI98" s="25"/>
      <c r="CJ98" s="25"/>
      <c r="CK98" s="25"/>
      <c r="CL98" s="25"/>
      <c r="CM98" s="25"/>
      <c r="CN98" s="25"/>
      <c r="CO98" s="25"/>
      <c r="CP98" s="25"/>
      <c r="CQ98" s="25"/>
      <c r="CR98" s="25"/>
      <c r="CS98" s="25"/>
      <c r="CT98" s="25"/>
      <c r="CU98" s="25"/>
      <c r="CV98" s="25"/>
      <c r="CW98" s="25"/>
      <c r="CX98" s="25"/>
      <c r="CY98" s="25"/>
      <c r="CZ98" s="25"/>
    </row>
    <row r="99" spans="1:104">
      <c r="A99" s="8" t="s">
        <v>19</v>
      </c>
      <c r="B99" s="8">
        <v>97</v>
      </c>
      <c r="C99" s="8" t="s">
        <v>19</v>
      </c>
      <c r="D99" s="8">
        <v>340</v>
      </c>
      <c r="E99" s="8" t="s">
        <v>20</v>
      </c>
      <c r="F99" s="8">
        <v>729</v>
      </c>
      <c r="G99" s="8" t="s">
        <v>21</v>
      </c>
      <c r="H99" s="8">
        <v>4056</v>
      </c>
      <c r="I99" s="8">
        <v>-4.35978312889619e-7</v>
      </c>
      <c r="J99" s="8">
        <v>-4.62896833532389e-7</v>
      </c>
      <c r="K99" s="8">
        <v>1.29696846363135</v>
      </c>
      <c r="L99" s="10"/>
      <c r="M99" s="10">
        <f t="shared" si="4"/>
        <v>688.08</v>
      </c>
      <c r="N99" s="18">
        <f t="shared" si="5"/>
        <v>591.08</v>
      </c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5"/>
      <c r="AM99" s="15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5"/>
      <c r="AZ99" s="15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5"/>
      <c r="BM99" s="15"/>
      <c r="BN99" s="21"/>
      <c r="BO99" s="16"/>
      <c r="BP99" s="16"/>
      <c r="BQ99" s="16"/>
      <c r="BR99" s="16"/>
      <c r="BS99" s="16"/>
      <c r="BT99" s="16"/>
      <c r="BU99" s="8"/>
      <c r="BV99" s="8"/>
      <c r="BW99" s="8"/>
      <c r="BX99" s="8"/>
      <c r="BY99" s="25"/>
      <c r="BZ99" s="25"/>
      <c r="CA99" s="25"/>
      <c r="CB99" s="25"/>
      <c r="CC99" s="25"/>
      <c r="CD99" s="25"/>
      <c r="CE99" s="25"/>
      <c r="CF99" s="25"/>
      <c r="CG99" s="25"/>
      <c r="CH99" s="25"/>
      <c r="CI99" s="25"/>
      <c r="CJ99" s="25"/>
      <c r="CK99" s="25"/>
      <c r="CL99" s="25"/>
      <c r="CM99" s="25"/>
      <c r="CN99" s="25"/>
      <c r="CO99" s="25"/>
      <c r="CP99" s="25"/>
      <c r="CQ99" s="25"/>
      <c r="CR99" s="25"/>
      <c r="CS99" s="25"/>
      <c r="CT99" s="25"/>
      <c r="CU99" s="25"/>
      <c r="CV99" s="25"/>
      <c r="CW99" s="25"/>
      <c r="CX99" s="25"/>
      <c r="CY99" s="25"/>
      <c r="CZ99" s="25"/>
    </row>
    <row r="100" spans="1:104">
      <c r="A100" s="8" t="s">
        <v>19</v>
      </c>
      <c r="B100" s="8">
        <v>97</v>
      </c>
      <c r="C100" s="8" t="s">
        <v>19</v>
      </c>
      <c r="D100" s="8">
        <v>340</v>
      </c>
      <c r="E100" s="8" t="s">
        <v>20</v>
      </c>
      <c r="F100" s="8">
        <v>784</v>
      </c>
      <c r="G100" s="8" t="s">
        <v>21</v>
      </c>
      <c r="H100" s="8">
        <v>4374</v>
      </c>
      <c r="I100" s="8">
        <v>-3.69851385796482e-7</v>
      </c>
      <c r="J100" s="8">
        <v>-3.91544567618938e-7</v>
      </c>
      <c r="K100" s="8">
        <v>1.25929342474815</v>
      </c>
      <c r="L100" s="10"/>
      <c r="M100" s="10">
        <f t="shared" si="4"/>
        <v>744.855</v>
      </c>
      <c r="N100" s="18">
        <f t="shared" si="5"/>
        <v>647.855</v>
      </c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5"/>
      <c r="AM100" s="15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5"/>
      <c r="AZ100" s="15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5"/>
      <c r="BM100" s="15"/>
      <c r="BN100" s="21"/>
      <c r="BO100" s="16"/>
      <c r="BP100" s="16"/>
      <c r="BQ100" s="16"/>
      <c r="BR100" s="16"/>
      <c r="BS100" s="16"/>
      <c r="BT100" s="16"/>
      <c r="BU100" s="8"/>
      <c r="BV100" s="8"/>
      <c r="BW100" s="8"/>
      <c r="BX100" s="8"/>
      <c r="BY100" s="25"/>
      <c r="BZ100" s="25"/>
      <c r="CA100" s="25"/>
      <c r="CB100" s="25"/>
      <c r="CC100" s="25"/>
      <c r="CD100" s="25"/>
      <c r="CE100" s="25"/>
      <c r="CF100" s="25"/>
      <c r="CG100" s="25"/>
      <c r="CH100" s="25"/>
      <c r="CI100" s="25"/>
      <c r="CJ100" s="25"/>
      <c r="CK100" s="25"/>
      <c r="CL100" s="25"/>
      <c r="CM100" s="25"/>
      <c r="CN100" s="25"/>
      <c r="CO100" s="25"/>
      <c r="CP100" s="25"/>
      <c r="CQ100" s="25"/>
      <c r="CR100" s="25"/>
      <c r="CS100" s="25"/>
      <c r="CT100" s="25"/>
      <c r="CU100" s="25"/>
      <c r="CV100" s="25"/>
      <c r="CW100" s="25"/>
      <c r="CX100" s="25"/>
      <c r="CY100" s="25"/>
      <c r="CZ100" s="25"/>
    </row>
    <row r="101" spans="1:104">
      <c r="A101" s="8" t="s">
        <v>19</v>
      </c>
      <c r="B101" s="8">
        <v>97</v>
      </c>
      <c r="C101" s="8" t="s">
        <v>19</v>
      </c>
      <c r="D101" s="8">
        <v>340</v>
      </c>
      <c r="E101" s="8" t="s">
        <v>20</v>
      </c>
      <c r="F101" s="8">
        <v>841</v>
      </c>
      <c r="G101" s="8" t="s">
        <v>21</v>
      </c>
      <c r="H101" s="8">
        <v>4704</v>
      </c>
      <c r="I101" s="8">
        <v>-3.96694828510814e-7</v>
      </c>
      <c r="J101" s="8">
        <v>-4.13389613248234e-7</v>
      </c>
      <c r="K101" s="8">
        <v>1.26614245228971</v>
      </c>
      <c r="L101" s="10"/>
      <c r="M101" s="10">
        <f t="shared" si="4"/>
        <v>799.875</v>
      </c>
      <c r="N101" s="18">
        <f t="shared" si="5"/>
        <v>702.875</v>
      </c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5"/>
      <c r="AM101" s="15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5"/>
      <c r="AZ101" s="15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5"/>
      <c r="BM101" s="15"/>
      <c r="BN101" s="21"/>
      <c r="BO101" s="16"/>
      <c r="BP101" s="16"/>
      <c r="BQ101" s="16"/>
      <c r="BR101" s="16"/>
      <c r="BS101" s="16"/>
      <c r="BT101" s="16"/>
      <c r="BU101" s="8"/>
      <c r="BV101" s="8"/>
      <c r="BW101" s="8"/>
      <c r="BX101" s="8"/>
      <c r="BY101" s="25"/>
      <c r="BZ101" s="25"/>
      <c r="CA101" s="25"/>
      <c r="CB101" s="25"/>
      <c r="CC101" s="25"/>
      <c r="CD101" s="25"/>
      <c r="CE101" s="25"/>
      <c r="CF101" s="25"/>
      <c r="CG101" s="25"/>
      <c r="CH101" s="25"/>
      <c r="CI101" s="25"/>
      <c r="CJ101" s="25"/>
      <c r="CK101" s="25"/>
      <c r="CL101" s="25"/>
      <c r="CM101" s="25"/>
      <c r="CN101" s="25"/>
      <c r="CO101" s="25"/>
      <c r="CP101" s="25"/>
      <c r="CQ101" s="25"/>
      <c r="CR101" s="25"/>
      <c r="CS101" s="25"/>
      <c r="CT101" s="25"/>
      <c r="CU101" s="25"/>
      <c r="CV101" s="25"/>
      <c r="CW101" s="25"/>
      <c r="CX101" s="25"/>
      <c r="CY101" s="25"/>
      <c r="CZ101" s="25"/>
    </row>
    <row r="102" spans="1:104">
      <c r="A102" s="8" t="s">
        <v>19</v>
      </c>
      <c r="B102" s="8">
        <v>97</v>
      </c>
      <c r="C102" s="8" t="s">
        <v>19</v>
      </c>
      <c r="D102" s="8">
        <v>340</v>
      </c>
      <c r="E102" s="8" t="s">
        <v>20</v>
      </c>
      <c r="F102" s="8">
        <v>900</v>
      </c>
      <c r="G102" s="8" t="s">
        <v>21</v>
      </c>
      <c r="H102" s="8">
        <v>5046</v>
      </c>
      <c r="I102" s="8">
        <v>-3.14841628972357e-7</v>
      </c>
      <c r="J102" s="8">
        <v>-3.43165435114916e-7</v>
      </c>
      <c r="K102" s="8">
        <v>1.2373811819414</v>
      </c>
      <c r="L102" s="10"/>
      <c r="M102" s="10">
        <f t="shared" si="4"/>
        <v>856.855</v>
      </c>
      <c r="N102" s="18">
        <f t="shared" si="5"/>
        <v>759.855</v>
      </c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5"/>
      <c r="AM102" s="15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5"/>
      <c r="AZ102" s="15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5"/>
      <c r="BM102" s="15"/>
      <c r="BN102" s="21"/>
      <c r="BO102" s="16"/>
      <c r="BP102" s="16"/>
      <c r="BQ102" s="16"/>
      <c r="BR102" s="16"/>
      <c r="BS102" s="16"/>
      <c r="BT102" s="16"/>
      <c r="BU102" s="8"/>
      <c r="BV102" s="8"/>
      <c r="BW102" s="8"/>
      <c r="BX102" s="8"/>
      <c r="BY102" s="25"/>
      <c r="BZ102" s="25"/>
      <c r="CA102" s="25"/>
      <c r="CB102" s="25"/>
      <c r="CC102" s="25"/>
      <c r="CD102" s="25"/>
      <c r="CE102" s="25"/>
      <c r="CF102" s="25"/>
      <c r="CG102" s="25"/>
      <c r="CH102" s="25"/>
      <c r="CI102" s="25"/>
      <c r="CJ102" s="25"/>
      <c r="CK102" s="25"/>
      <c r="CL102" s="25"/>
      <c r="CM102" s="25"/>
      <c r="CN102" s="25"/>
      <c r="CO102" s="25"/>
      <c r="CP102" s="25"/>
      <c r="CQ102" s="25"/>
      <c r="CR102" s="25"/>
      <c r="CS102" s="25"/>
      <c r="CT102" s="25"/>
      <c r="CU102" s="25"/>
      <c r="CV102" s="25"/>
      <c r="CW102" s="25"/>
      <c r="CX102" s="25"/>
      <c r="CY102" s="25"/>
      <c r="CZ102" s="25"/>
    </row>
    <row r="103" spans="1:104">
      <c r="A103" s="8" t="s">
        <v>19</v>
      </c>
      <c r="B103" s="8">
        <v>97</v>
      </c>
      <c r="C103" s="8" t="s">
        <v>19</v>
      </c>
      <c r="D103" s="8">
        <v>340</v>
      </c>
      <c r="E103" s="8" t="s">
        <v>20</v>
      </c>
      <c r="F103" s="8">
        <v>961</v>
      </c>
      <c r="G103" s="8" t="s">
        <v>21</v>
      </c>
      <c r="H103" s="8">
        <v>5400</v>
      </c>
      <c r="I103" s="8">
        <v>-3.56699962149801e-7</v>
      </c>
      <c r="J103" s="8">
        <v>-3.73859365424949e-7</v>
      </c>
      <c r="K103" s="8">
        <v>1.24725291501829</v>
      </c>
      <c r="L103" s="10"/>
      <c r="M103" s="10">
        <f t="shared" si="4"/>
        <v>915.795</v>
      </c>
      <c r="N103" s="18">
        <f t="shared" si="5"/>
        <v>818.795</v>
      </c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5"/>
      <c r="AM103" s="15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5"/>
      <c r="AZ103" s="15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5"/>
      <c r="BM103" s="15"/>
      <c r="BN103" s="21"/>
      <c r="BO103" s="16"/>
      <c r="BP103" s="16"/>
      <c r="BQ103" s="16"/>
      <c r="BR103" s="16"/>
      <c r="BS103" s="16"/>
      <c r="BT103" s="16"/>
      <c r="BU103" s="8"/>
      <c r="BV103" s="8"/>
      <c r="BW103" s="8"/>
      <c r="BX103" s="8"/>
      <c r="BY103" s="25"/>
      <c r="BZ103" s="25"/>
      <c r="CA103" s="25"/>
      <c r="CB103" s="25"/>
      <c r="CC103" s="25"/>
      <c r="CD103" s="25"/>
      <c r="CE103" s="25"/>
      <c r="CF103" s="25"/>
      <c r="CG103" s="25"/>
      <c r="CH103" s="25"/>
      <c r="CI103" s="25"/>
      <c r="CJ103" s="25"/>
      <c r="CK103" s="25"/>
      <c r="CL103" s="25"/>
      <c r="CM103" s="25"/>
      <c r="CN103" s="25"/>
      <c r="CO103" s="25"/>
      <c r="CP103" s="25"/>
      <c r="CQ103" s="25"/>
      <c r="CR103" s="25"/>
      <c r="CS103" s="25"/>
      <c r="CT103" s="25"/>
      <c r="CU103" s="25"/>
      <c r="CV103" s="25"/>
      <c r="CW103" s="25"/>
      <c r="CX103" s="25"/>
      <c r="CY103" s="25"/>
      <c r="CZ103" s="25"/>
    </row>
    <row r="104" ht="23.25" spans="1:104">
      <c r="A104" s="8" t="s">
        <v>19</v>
      </c>
      <c r="B104" s="8">
        <v>97</v>
      </c>
      <c r="C104" s="8" t="s">
        <v>19</v>
      </c>
      <c r="D104" s="8">
        <v>340</v>
      </c>
      <c r="E104" s="8" t="s">
        <v>20</v>
      </c>
      <c r="F104" s="8">
        <v>1024</v>
      </c>
      <c r="G104" s="8" t="s">
        <v>21</v>
      </c>
      <c r="H104" s="8">
        <v>5766</v>
      </c>
      <c r="I104" s="8">
        <v>-3.13207131452445e-7</v>
      </c>
      <c r="J104" s="8">
        <v>-3.32051424167617e-7</v>
      </c>
      <c r="K104" s="8">
        <v>1.22432115865868</v>
      </c>
      <c r="L104" s="10"/>
      <c r="M104" s="10">
        <f t="shared" si="4"/>
        <v>976.695</v>
      </c>
      <c r="N104" s="18">
        <f t="shared" si="5"/>
        <v>879.695</v>
      </c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5"/>
      <c r="AM104" s="15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5"/>
      <c r="AZ104" s="15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5"/>
      <c r="BM104" s="15"/>
      <c r="BN104" s="21"/>
      <c r="BO104" s="16"/>
      <c r="BP104" s="16"/>
      <c r="BQ104" s="16"/>
      <c r="BR104" s="16"/>
      <c r="BS104" s="16"/>
      <c r="BT104" s="16"/>
      <c r="BU104" s="8"/>
      <c r="BV104" s="8"/>
      <c r="BW104" s="8"/>
      <c r="BX104" s="8"/>
      <c r="BY104" s="25"/>
      <c r="BZ104" s="25"/>
      <c r="CA104" s="25"/>
      <c r="CB104" s="25"/>
      <c r="CC104" s="25"/>
      <c r="CD104" s="25"/>
      <c r="CE104" s="25"/>
      <c r="CF104" s="25"/>
      <c r="CG104" s="25"/>
      <c r="CH104" s="25"/>
      <c r="CI104" s="25"/>
      <c r="CJ104" s="25"/>
      <c r="CK104" s="25"/>
      <c r="CL104" s="25"/>
      <c r="CM104" s="25"/>
      <c r="CN104" s="25"/>
      <c r="CO104" s="25"/>
      <c r="CP104" s="25"/>
      <c r="CQ104" s="25"/>
      <c r="CR104" s="25"/>
      <c r="CS104" s="25"/>
      <c r="CT104" s="25"/>
      <c r="CU104" s="25"/>
      <c r="CV104" s="25"/>
      <c r="CW104" s="25"/>
      <c r="CX104" s="25"/>
      <c r="CY104" s="25"/>
      <c r="CZ104" s="25"/>
    </row>
    <row r="105" ht="23.25" spans="1:104">
      <c r="A105" s="8" t="s">
        <v>19</v>
      </c>
      <c r="B105" s="8">
        <v>97</v>
      </c>
      <c r="C105" s="8" t="s">
        <v>19</v>
      </c>
      <c r="D105" s="8">
        <v>340</v>
      </c>
      <c r="E105" s="8" t="s">
        <v>20</v>
      </c>
      <c r="F105" s="8">
        <v>1089</v>
      </c>
      <c r="G105" s="8" t="s">
        <v>21</v>
      </c>
      <c r="H105" s="8">
        <v>6144</v>
      </c>
      <c r="I105" s="8">
        <v>-3.23855867598646e-7</v>
      </c>
      <c r="J105" s="8">
        <v>-3.34489447707701e-7</v>
      </c>
      <c r="K105" s="8">
        <v>1.21955329793399</v>
      </c>
      <c r="L105" s="10"/>
      <c r="M105" s="10">
        <f t="shared" si="4"/>
        <v>1039.555</v>
      </c>
      <c r="N105" s="18">
        <f t="shared" si="5"/>
        <v>942.555</v>
      </c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5"/>
      <c r="AM105" s="15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5"/>
      <c r="AZ105" s="15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  <c r="BK105" s="16"/>
      <c r="BL105" s="15"/>
      <c r="BM105" s="15"/>
      <c r="BN105" s="21"/>
      <c r="BO105" s="16"/>
      <c r="BP105" s="16"/>
      <c r="BQ105" s="16"/>
      <c r="BR105" s="16"/>
      <c r="BS105" s="16"/>
      <c r="BT105" s="16"/>
      <c r="BU105" s="8"/>
      <c r="BV105" s="8"/>
      <c r="BW105" s="8"/>
      <c r="BX105" s="8"/>
      <c r="BY105" s="25"/>
      <c r="BZ105" s="25"/>
      <c r="CA105" s="25"/>
      <c r="CB105" s="25"/>
      <c r="CC105" s="25"/>
      <c r="CD105" s="25"/>
      <c r="CE105" s="25"/>
      <c r="CF105" s="25"/>
      <c r="CG105" s="25"/>
      <c r="CH105" s="25"/>
      <c r="CI105" s="25"/>
      <c r="CJ105" s="25"/>
      <c r="CK105" s="25"/>
      <c r="CL105" s="25"/>
      <c r="CM105" s="25"/>
      <c r="CN105" s="25"/>
      <c r="CO105" s="25"/>
      <c r="CP105" s="25"/>
      <c r="CQ105" s="25"/>
      <c r="CR105" s="25"/>
      <c r="CS105" s="25"/>
      <c r="CT105" s="25"/>
      <c r="CU105" s="25"/>
      <c r="CV105" s="25"/>
      <c r="CW105" s="25"/>
      <c r="CX105" s="25"/>
      <c r="CY105" s="25"/>
      <c r="CZ105" s="25"/>
    </row>
    <row r="106" ht="23.25" spans="1:104">
      <c r="A106" s="7" t="s">
        <v>24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10"/>
      <c r="M106" s="10"/>
      <c r="N106" s="18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5"/>
      <c r="AZ106" s="15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15"/>
      <c r="BM106" s="15"/>
      <c r="BN106" s="21"/>
      <c r="BO106" s="16"/>
      <c r="BP106" s="16"/>
      <c r="BQ106" s="16"/>
      <c r="BR106" s="16"/>
      <c r="BS106" s="16"/>
      <c r="BT106" s="16"/>
      <c r="BU106" s="8"/>
      <c r="BV106" s="8"/>
      <c r="BW106" s="8"/>
      <c r="BX106" s="8"/>
      <c r="BY106" s="25"/>
      <c r="BZ106" s="25"/>
      <c r="CA106" s="25"/>
      <c r="CB106" s="25"/>
      <c r="CC106" s="25"/>
      <c r="CD106" s="25"/>
      <c r="CE106" s="25"/>
      <c r="CF106" s="25"/>
      <c r="CG106" s="25"/>
      <c r="CH106" s="25"/>
      <c r="CI106" s="25"/>
      <c r="CJ106" s="25"/>
      <c r="CK106" s="25"/>
      <c r="CL106" s="25"/>
      <c r="CM106" s="25"/>
      <c r="CN106" s="25"/>
      <c r="CO106" s="25"/>
      <c r="CP106" s="25"/>
      <c r="CQ106" s="25"/>
      <c r="CR106" s="25"/>
      <c r="CS106" s="25"/>
      <c r="CT106" s="25"/>
      <c r="CU106" s="25"/>
      <c r="CV106" s="25"/>
      <c r="CW106" s="25"/>
      <c r="CX106" s="25"/>
      <c r="CY106" s="25"/>
      <c r="CZ106" s="25"/>
    </row>
    <row r="107" ht="23.25" spans="1:104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10"/>
      <c r="M107" s="10"/>
      <c r="N107" s="18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5"/>
      <c r="Z107" s="15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15"/>
      <c r="BM107" s="15"/>
      <c r="BN107" s="21"/>
      <c r="BO107" s="14"/>
      <c r="BP107" s="14"/>
      <c r="BQ107" s="14"/>
      <c r="BR107" s="14"/>
      <c r="BS107" s="14"/>
      <c r="BT107" s="14"/>
      <c r="BU107" s="24"/>
      <c r="BV107" s="24"/>
      <c r="BW107" s="24"/>
      <c r="BX107" s="24"/>
      <c r="BY107" s="25"/>
      <c r="BZ107" s="25"/>
      <c r="CA107" s="25"/>
      <c r="CB107" s="25"/>
      <c r="CC107" s="25"/>
      <c r="CD107" s="25"/>
      <c r="CE107" s="25"/>
      <c r="CF107" s="25"/>
      <c r="CG107" s="25"/>
      <c r="CH107" s="25"/>
      <c r="CI107" s="25"/>
      <c r="CJ107" s="25"/>
      <c r="CK107" s="25"/>
      <c r="CL107" s="25"/>
      <c r="CM107" s="25"/>
      <c r="CN107" s="25"/>
      <c r="CO107" s="25"/>
      <c r="CP107" s="25"/>
      <c r="CQ107" s="25"/>
      <c r="CR107" s="25"/>
      <c r="CS107" s="25"/>
      <c r="CT107" s="25"/>
      <c r="CU107" s="25"/>
      <c r="CV107" s="25"/>
      <c r="CW107" s="25"/>
      <c r="CX107" s="25"/>
      <c r="CY107" s="25"/>
      <c r="CZ107" s="25"/>
    </row>
    <row r="108" ht="23.25" spans="1:104">
      <c r="A108" s="8" t="s">
        <v>7</v>
      </c>
      <c r="B108" s="8" t="s">
        <v>8</v>
      </c>
      <c r="C108" s="8" t="s">
        <v>9</v>
      </c>
      <c r="D108" s="8" t="s">
        <v>10</v>
      </c>
      <c r="E108" s="8" t="s">
        <v>11</v>
      </c>
      <c r="F108" s="8" t="s">
        <v>12</v>
      </c>
      <c r="G108" s="8" t="s">
        <v>13</v>
      </c>
      <c r="H108" s="8" t="s">
        <v>14</v>
      </c>
      <c r="I108" s="8" t="s">
        <v>15</v>
      </c>
      <c r="J108" s="8" t="s">
        <v>16</v>
      </c>
      <c r="K108" s="8" t="s">
        <v>17</v>
      </c>
      <c r="L108" s="10"/>
      <c r="M108" s="10"/>
      <c r="N108" s="18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5"/>
      <c r="Z108" s="15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5"/>
      <c r="AM108" s="15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5"/>
      <c r="AZ108" s="15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  <c r="BK108" s="16"/>
      <c r="BL108" s="15"/>
      <c r="BM108" s="15"/>
      <c r="BN108" s="21"/>
      <c r="BO108" s="14"/>
      <c r="BP108" s="14"/>
      <c r="BQ108" s="14"/>
      <c r="BR108" s="14"/>
      <c r="BS108" s="14"/>
      <c r="BT108" s="14"/>
      <c r="BU108" s="24"/>
      <c r="BV108" s="24"/>
      <c r="BW108" s="24"/>
      <c r="BX108" s="24"/>
      <c r="BY108" s="25"/>
      <c r="BZ108" s="25"/>
      <c r="CA108" s="25"/>
      <c r="CB108" s="25"/>
      <c r="CC108" s="25"/>
      <c r="CD108" s="25"/>
      <c r="CE108" s="25"/>
      <c r="CF108" s="25"/>
      <c r="CG108" s="25"/>
      <c r="CH108" s="25"/>
      <c r="CI108" s="25"/>
      <c r="CJ108" s="25"/>
      <c r="CK108" s="25"/>
      <c r="CL108" s="25"/>
      <c r="CM108" s="25"/>
      <c r="CN108" s="25"/>
      <c r="CO108" s="25"/>
      <c r="CP108" s="25"/>
      <c r="CQ108" s="25"/>
      <c r="CR108" s="25"/>
      <c r="CS108" s="25"/>
      <c r="CT108" s="25"/>
      <c r="CU108" s="25"/>
      <c r="CV108" s="25"/>
      <c r="CW108" s="25"/>
      <c r="CX108" s="25"/>
      <c r="CY108" s="25"/>
      <c r="CZ108" s="25"/>
    </row>
    <row r="109" spans="1:104">
      <c r="A109" s="8" t="s">
        <v>19</v>
      </c>
      <c r="B109" s="8">
        <v>122</v>
      </c>
      <c r="C109" s="8" t="s">
        <v>19</v>
      </c>
      <c r="D109" s="8">
        <v>340</v>
      </c>
      <c r="E109" s="8" t="s">
        <v>20</v>
      </c>
      <c r="F109" s="8">
        <v>100</v>
      </c>
      <c r="G109" s="8" t="s">
        <v>21</v>
      </c>
      <c r="H109" s="8">
        <v>486</v>
      </c>
      <c r="I109" s="8">
        <v>-0.865136387837881</v>
      </c>
      <c r="J109" s="8">
        <v>-0.873053187640729</v>
      </c>
      <c r="K109" s="8">
        <v>-0.423729540235264</v>
      </c>
      <c r="L109" s="10"/>
      <c r="M109" s="10">
        <f t="shared" ref="M109:M132" si="6">(FLOOR(((SQRT(1+8*F109)-3))/2,0.1)*(FLOOR(((SQRT(1+8*F109)-3))/2,0.1)+1))/2</f>
        <v>85.68</v>
      </c>
      <c r="N109" s="18">
        <f t="shared" ref="N109:N132" si="7">ABS(B109-M109)</f>
        <v>36.32</v>
      </c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5"/>
      <c r="AM109" s="15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5"/>
      <c r="AZ109" s="15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5"/>
      <c r="BM109" s="15"/>
      <c r="BN109" s="21"/>
      <c r="BO109" s="15"/>
      <c r="BP109" s="15"/>
      <c r="BQ109" s="15"/>
      <c r="BR109" s="15"/>
      <c r="BS109" s="15"/>
      <c r="BT109" s="15"/>
      <c r="BU109" s="10"/>
      <c r="BV109" s="10"/>
      <c r="BW109" s="10"/>
      <c r="BX109" s="10"/>
      <c r="BY109" s="25"/>
      <c r="BZ109" s="25"/>
      <c r="CA109" s="25"/>
      <c r="CB109" s="25"/>
      <c r="CC109" s="25"/>
      <c r="CD109" s="25"/>
      <c r="CE109" s="25"/>
      <c r="CF109" s="25"/>
      <c r="CG109" s="25"/>
      <c r="CH109" s="25"/>
      <c r="CI109" s="25"/>
      <c r="CJ109" s="25"/>
      <c r="CK109" s="25"/>
      <c r="CL109" s="25"/>
      <c r="CM109" s="25"/>
      <c r="CN109" s="25"/>
      <c r="CO109" s="25"/>
      <c r="CP109" s="25"/>
      <c r="CQ109" s="25"/>
      <c r="CR109" s="25"/>
      <c r="CS109" s="25"/>
      <c r="CT109" s="25"/>
      <c r="CU109" s="25"/>
      <c r="CV109" s="25"/>
      <c r="CW109" s="25"/>
      <c r="CX109" s="25"/>
      <c r="CY109" s="25"/>
      <c r="CZ109" s="25"/>
    </row>
    <row r="110" spans="1:104">
      <c r="A110" s="8" t="s">
        <v>19</v>
      </c>
      <c r="B110" s="8">
        <v>122</v>
      </c>
      <c r="C110" s="8" t="s">
        <v>19</v>
      </c>
      <c r="D110" s="8">
        <v>340</v>
      </c>
      <c r="E110" s="8" t="s">
        <v>20</v>
      </c>
      <c r="F110" s="8">
        <v>121</v>
      </c>
      <c r="G110" s="8" t="s">
        <v>21</v>
      </c>
      <c r="H110" s="8">
        <v>600</v>
      </c>
      <c r="I110" s="8">
        <v>-1.46225250860057</v>
      </c>
      <c r="J110" s="8">
        <v>-1.47692627945226</v>
      </c>
      <c r="K110" s="8">
        <v>-0.619415443708453</v>
      </c>
      <c r="L110" s="10"/>
      <c r="M110" s="10">
        <f t="shared" si="6"/>
        <v>105</v>
      </c>
      <c r="N110" s="18">
        <f t="shared" si="7"/>
        <v>17</v>
      </c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5"/>
      <c r="AM110" s="15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5"/>
      <c r="AZ110" s="15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5"/>
      <c r="BM110" s="15"/>
      <c r="BN110" s="21"/>
      <c r="BO110" s="16"/>
      <c r="BP110" s="16"/>
      <c r="BQ110" s="16"/>
      <c r="BR110" s="16"/>
      <c r="BS110" s="16"/>
      <c r="BT110" s="16"/>
      <c r="BU110" s="8"/>
      <c r="BV110" s="8"/>
      <c r="BW110" s="8"/>
      <c r="BX110" s="8"/>
      <c r="BY110" s="25"/>
      <c r="BZ110" s="25"/>
      <c r="CA110" s="25"/>
      <c r="CB110" s="25"/>
      <c r="CC110" s="25"/>
      <c r="CD110" s="25"/>
      <c r="CE110" s="25"/>
      <c r="CF110" s="25"/>
      <c r="CG110" s="25"/>
      <c r="CH110" s="25"/>
      <c r="CI110" s="25"/>
      <c r="CJ110" s="25"/>
      <c r="CK110" s="25"/>
      <c r="CL110" s="25"/>
      <c r="CM110" s="25"/>
      <c r="CN110" s="25"/>
      <c r="CO110" s="25"/>
      <c r="CP110" s="25"/>
      <c r="CQ110" s="25"/>
      <c r="CR110" s="25"/>
      <c r="CS110" s="25"/>
      <c r="CT110" s="25"/>
      <c r="CU110" s="25"/>
      <c r="CV110" s="25"/>
      <c r="CW110" s="25"/>
      <c r="CX110" s="25"/>
      <c r="CY110" s="25"/>
      <c r="CZ110" s="25"/>
    </row>
    <row r="111" spans="1:104">
      <c r="A111" s="9" t="s">
        <v>19</v>
      </c>
      <c r="B111" s="9">
        <v>122</v>
      </c>
      <c r="C111" s="9" t="s">
        <v>19</v>
      </c>
      <c r="D111" s="9">
        <v>340</v>
      </c>
      <c r="E111" s="9" t="s">
        <v>20</v>
      </c>
      <c r="F111" s="9">
        <v>144</v>
      </c>
      <c r="G111" s="9" t="s">
        <v>21</v>
      </c>
      <c r="H111" s="9">
        <v>726</v>
      </c>
      <c r="I111" s="9">
        <v>-1.78240978667546</v>
      </c>
      <c r="J111" s="9">
        <v>-1.49782256636283</v>
      </c>
      <c r="K111" s="9">
        <v>-0.472907893344973</v>
      </c>
      <c r="L111" s="11"/>
      <c r="M111" s="11">
        <f t="shared" si="6"/>
        <v>126.28</v>
      </c>
      <c r="N111" s="18">
        <f t="shared" si="7"/>
        <v>4.27999999999999</v>
      </c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5"/>
      <c r="AM111" s="15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5"/>
      <c r="AZ111" s="15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2"/>
      <c r="BM111" s="22"/>
      <c r="BN111" s="21"/>
      <c r="BO111" s="16"/>
      <c r="BP111" s="16"/>
      <c r="BQ111" s="16"/>
      <c r="BR111" s="16"/>
      <c r="BS111" s="16"/>
      <c r="BT111" s="16"/>
      <c r="BU111" s="8"/>
      <c r="BV111" s="8"/>
      <c r="BW111" s="8"/>
      <c r="BX111" s="8"/>
      <c r="BY111" s="25"/>
      <c r="BZ111" s="25"/>
      <c r="CA111" s="25"/>
      <c r="CB111" s="25"/>
      <c r="CC111" s="25"/>
      <c r="CD111" s="25"/>
      <c r="CE111" s="25"/>
      <c r="CF111" s="25"/>
      <c r="CG111" s="25"/>
      <c r="CH111" s="25"/>
      <c r="CI111" s="25"/>
      <c r="CJ111" s="25"/>
      <c r="CK111" s="25"/>
      <c r="CL111" s="25"/>
      <c r="CM111" s="25"/>
      <c r="CN111" s="25"/>
      <c r="CO111" s="25"/>
      <c r="CP111" s="25"/>
      <c r="CQ111" s="25"/>
      <c r="CR111" s="25"/>
      <c r="CS111" s="25"/>
      <c r="CT111" s="25"/>
      <c r="CU111" s="25"/>
      <c r="CV111" s="25"/>
      <c r="CW111" s="25"/>
      <c r="CX111" s="25"/>
      <c r="CY111" s="25"/>
      <c r="CZ111" s="25"/>
    </row>
    <row r="112" spans="1:104">
      <c r="A112" s="8" t="s">
        <v>19</v>
      </c>
      <c r="B112" s="8">
        <v>122</v>
      </c>
      <c r="C112" s="8" t="s">
        <v>19</v>
      </c>
      <c r="D112" s="8">
        <v>340</v>
      </c>
      <c r="E112" s="8" t="s">
        <v>20</v>
      </c>
      <c r="F112" s="8">
        <v>169</v>
      </c>
      <c r="G112" s="8" t="s">
        <v>21</v>
      </c>
      <c r="H112" s="8">
        <v>864</v>
      </c>
      <c r="I112" s="8">
        <v>-1.66684011228943</v>
      </c>
      <c r="J112" s="8">
        <v>-1.36892865609873</v>
      </c>
      <c r="K112" s="8">
        <v>-0.24323001139393</v>
      </c>
      <c r="L112" s="10"/>
      <c r="M112" s="10">
        <f t="shared" si="6"/>
        <v>149.52</v>
      </c>
      <c r="N112" s="18">
        <f t="shared" si="7"/>
        <v>27.52</v>
      </c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5"/>
      <c r="AM112" s="15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5"/>
      <c r="AZ112" s="15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5"/>
      <c r="BM112" s="15"/>
      <c r="BN112" s="21"/>
      <c r="BO112" s="16"/>
      <c r="BP112" s="16"/>
      <c r="BQ112" s="16"/>
      <c r="BR112" s="16"/>
      <c r="BS112" s="16"/>
      <c r="BT112" s="16"/>
      <c r="BU112" s="8"/>
      <c r="BV112" s="8"/>
      <c r="BW112" s="8"/>
      <c r="BX112" s="8"/>
      <c r="BY112" s="25"/>
      <c r="BZ112" s="25"/>
      <c r="CA112" s="25"/>
      <c r="CB112" s="25"/>
      <c r="CC112" s="25"/>
      <c r="CD112" s="25"/>
      <c r="CE112" s="25"/>
      <c r="CF112" s="25"/>
      <c r="CG112" s="25"/>
      <c r="CH112" s="25"/>
      <c r="CI112" s="25"/>
      <c r="CJ112" s="25"/>
      <c r="CK112" s="25"/>
      <c r="CL112" s="25"/>
      <c r="CM112" s="25"/>
      <c r="CN112" s="25"/>
      <c r="CO112" s="25"/>
      <c r="CP112" s="25"/>
      <c r="CQ112" s="25"/>
      <c r="CR112" s="25"/>
      <c r="CS112" s="25"/>
      <c r="CT112" s="25"/>
      <c r="CU112" s="25"/>
      <c r="CV112" s="25"/>
      <c r="CW112" s="25"/>
      <c r="CX112" s="25"/>
      <c r="CY112" s="25"/>
      <c r="CZ112" s="25"/>
    </row>
    <row r="113" spans="1:104">
      <c r="A113" s="8" t="s">
        <v>19</v>
      </c>
      <c r="B113" s="8">
        <v>122</v>
      </c>
      <c r="C113" s="8" t="s">
        <v>19</v>
      </c>
      <c r="D113" s="8">
        <v>340</v>
      </c>
      <c r="E113" s="8" t="s">
        <v>20</v>
      </c>
      <c r="F113" s="8">
        <v>196</v>
      </c>
      <c r="G113" s="8" t="s">
        <v>21</v>
      </c>
      <c r="H113" s="8">
        <v>1014</v>
      </c>
      <c r="I113" s="8">
        <v>-1.3456963527164</v>
      </c>
      <c r="J113" s="8">
        <v>-1.16230227477474</v>
      </c>
      <c r="K113" s="8">
        <v>0.079636516340899</v>
      </c>
      <c r="L113" s="10"/>
      <c r="M113" s="10">
        <f t="shared" si="6"/>
        <v>176.595</v>
      </c>
      <c r="N113" s="18">
        <f t="shared" si="7"/>
        <v>54.595</v>
      </c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5"/>
      <c r="AM113" s="15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5"/>
      <c r="AZ113" s="15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  <c r="BK113" s="16"/>
      <c r="BL113" s="15"/>
      <c r="BM113" s="15"/>
      <c r="BN113" s="21"/>
      <c r="BO113" s="16"/>
      <c r="BP113" s="16"/>
      <c r="BQ113" s="16"/>
      <c r="BR113" s="16"/>
      <c r="BS113" s="16"/>
      <c r="BT113" s="16"/>
      <c r="BU113" s="8"/>
      <c r="BV113" s="8"/>
      <c r="BW113" s="8"/>
      <c r="BX113" s="8"/>
      <c r="BY113" s="25"/>
      <c r="BZ113" s="25"/>
      <c r="CA113" s="25"/>
      <c r="CB113" s="25"/>
      <c r="CC113" s="25"/>
      <c r="CD113" s="25"/>
      <c r="CE113" s="25"/>
      <c r="CF113" s="25"/>
      <c r="CG113" s="25"/>
      <c r="CH113" s="25"/>
      <c r="CI113" s="25"/>
      <c r="CJ113" s="25"/>
      <c r="CK113" s="25"/>
      <c r="CL113" s="25"/>
      <c r="CM113" s="25"/>
      <c r="CN113" s="25"/>
      <c r="CO113" s="25"/>
      <c r="CP113" s="25"/>
      <c r="CQ113" s="25"/>
      <c r="CR113" s="25"/>
      <c r="CS113" s="25"/>
      <c r="CT113" s="25"/>
      <c r="CU113" s="25"/>
      <c r="CV113" s="25"/>
      <c r="CW113" s="25"/>
      <c r="CX113" s="25"/>
      <c r="CY113" s="25"/>
      <c r="CZ113" s="25"/>
    </row>
    <row r="114" spans="1:104">
      <c r="A114" s="8" t="s">
        <v>19</v>
      </c>
      <c r="B114" s="8">
        <v>122</v>
      </c>
      <c r="C114" s="8" t="s">
        <v>19</v>
      </c>
      <c r="D114" s="8">
        <v>340</v>
      </c>
      <c r="E114" s="8" t="s">
        <v>20</v>
      </c>
      <c r="F114" s="8">
        <v>225</v>
      </c>
      <c r="G114" s="8" t="s">
        <v>21</v>
      </c>
      <c r="H114" s="8">
        <v>1176</v>
      </c>
      <c r="I114" s="8">
        <v>-1.15099899383727</v>
      </c>
      <c r="J114" s="8">
        <v>-1.01920997823459</v>
      </c>
      <c r="K114" s="8">
        <v>0.137230626244938</v>
      </c>
      <c r="L114" s="10"/>
      <c r="M114" s="10">
        <f t="shared" si="6"/>
        <v>203.895</v>
      </c>
      <c r="N114" s="18">
        <f t="shared" si="7"/>
        <v>81.8950000000001</v>
      </c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5"/>
      <c r="AM114" s="15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5"/>
      <c r="AZ114" s="15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5"/>
      <c r="BM114" s="15"/>
      <c r="BN114" s="21"/>
      <c r="BO114" s="16"/>
      <c r="BP114" s="16"/>
      <c r="BQ114" s="16"/>
      <c r="BR114" s="16"/>
      <c r="BS114" s="16"/>
      <c r="BT114" s="16"/>
      <c r="BU114" s="8"/>
      <c r="BV114" s="8"/>
      <c r="BW114" s="8"/>
      <c r="BX114" s="8"/>
      <c r="BY114" s="25"/>
      <c r="BZ114" s="25"/>
      <c r="CA114" s="25"/>
      <c r="CB114" s="25"/>
      <c r="CC114" s="25"/>
      <c r="CD114" s="25"/>
      <c r="CE114" s="25"/>
      <c r="CF114" s="25"/>
      <c r="CG114" s="25"/>
      <c r="CH114" s="25"/>
      <c r="CI114" s="25"/>
      <c r="CJ114" s="25"/>
      <c r="CK114" s="25"/>
      <c r="CL114" s="25"/>
      <c r="CM114" s="25"/>
      <c r="CN114" s="25"/>
      <c r="CO114" s="25"/>
      <c r="CP114" s="25"/>
      <c r="CQ114" s="25"/>
      <c r="CR114" s="25"/>
      <c r="CS114" s="25"/>
      <c r="CT114" s="25"/>
      <c r="CU114" s="25"/>
      <c r="CV114" s="25"/>
      <c r="CW114" s="25"/>
      <c r="CX114" s="25"/>
      <c r="CY114" s="25"/>
      <c r="CZ114" s="25"/>
    </row>
    <row r="115" spans="1:104">
      <c r="A115" s="8" t="s">
        <v>19</v>
      </c>
      <c r="B115" s="8">
        <v>122</v>
      </c>
      <c r="C115" s="8" t="s">
        <v>19</v>
      </c>
      <c r="D115" s="8">
        <v>340</v>
      </c>
      <c r="E115" s="8" t="s">
        <v>20</v>
      </c>
      <c r="F115" s="8">
        <v>256</v>
      </c>
      <c r="G115" s="8" t="s">
        <v>21</v>
      </c>
      <c r="H115" s="8">
        <v>1350</v>
      </c>
      <c r="I115" s="8">
        <v>-0.912084062384235</v>
      </c>
      <c r="J115" s="8">
        <v>-0.807464878903489</v>
      </c>
      <c r="K115" s="8">
        <v>0.411889985868477</v>
      </c>
      <c r="L115" s="10"/>
      <c r="M115" s="10">
        <f t="shared" si="6"/>
        <v>233.155</v>
      </c>
      <c r="N115" s="18">
        <f t="shared" si="7"/>
        <v>111.155</v>
      </c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5"/>
      <c r="AM115" s="15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5"/>
      <c r="AZ115" s="15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  <c r="BK115" s="16"/>
      <c r="BL115" s="15"/>
      <c r="BM115" s="15"/>
      <c r="BN115" s="21"/>
      <c r="BO115" s="16"/>
      <c r="BP115" s="16"/>
      <c r="BQ115" s="16"/>
      <c r="BR115" s="16"/>
      <c r="BS115" s="16"/>
      <c r="BT115" s="16"/>
      <c r="BU115" s="8"/>
      <c r="BV115" s="8"/>
      <c r="BW115" s="8"/>
      <c r="BX115" s="8"/>
      <c r="BY115" s="25"/>
      <c r="BZ115" s="25"/>
      <c r="CA115" s="25"/>
      <c r="CB115" s="25"/>
      <c r="CC115" s="25"/>
      <c r="CD115" s="25"/>
      <c r="CE115" s="25"/>
      <c r="CF115" s="25"/>
      <c r="CG115" s="25"/>
      <c r="CH115" s="25"/>
      <c r="CI115" s="25"/>
      <c r="CJ115" s="25"/>
      <c r="CK115" s="25"/>
      <c r="CL115" s="25"/>
      <c r="CM115" s="25"/>
      <c r="CN115" s="25"/>
      <c r="CO115" s="25"/>
      <c r="CP115" s="25"/>
      <c r="CQ115" s="25"/>
      <c r="CR115" s="25"/>
      <c r="CS115" s="25"/>
      <c r="CT115" s="25"/>
      <c r="CU115" s="25"/>
      <c r="CV115" s="25"/>
      <c r="CW115" s="25"/>
      <c r="CX115" s="25"/>
      <c r="CY115" s="25"/>
      <c r="CZ115" s="25"/>
    </row>
    <row r="116" spans="1:104">
      <c r="A116" s="8" t="s">
        <v>19</v>
      </c>
      <c r="B116" s="8">
        <v>122</v>
      </c>
      <c r="C116" s="8" t="s">
        <v>19</v>
      </c>
      <c r="D116" s="8">
        <v>340</v>
      </c>
      <c r="E116" s="8" t="s">
        <v>20</v>
      </c>
      <c r="F116" s="8">
        <v>289</v>
      </c>
      <c r="G116" s="8" t="s">
        <v>21</v>
      </c>
      <c r="H116" s="8">
        <v>1536</v>
      </c>
      <c r="I116" s="8">
        <v>-0.859179925576626</v>
      </c>
      <c r="J116" s="8">
        <v>-0.771821114875065</v>
      </c>
      <c r="K116" s="8">
        <v>0.565588432756444</v>
      </c>
      <c r="L116" s="10"/>
      <c r="M116" s="10">
        <f t="shared" si="6"/>
        <v>264.375</v>
      </c>
      <c r="N116" s="18">
        <f t="shared" si="7"/>
        <v>142.375</v>
      </c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5"/>
      <c r="AM116" s="15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5"/>
      <c r="AZ116" s="15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5"/>
      <c r="BM116" s="15"/>
      <c r="BN116" s="21"/>
      <c r="BO116" s="16"/>
      <c r="BP116" s="16"/>
      <c r="BQ116" s="16"/>
      <c r="BR116" s="16"/>
      <c r="BS116" s="16"/>
      <c r="BT116" s="16"/>
      <c r="BU116" s="8"/>
      <c r="BV116" s="8"/>
      <c r="BW116" s="8"/>
      <c r="BX116" s="8"/>
      <c r="BY116" s="25"/>
      <c r="BZ116" s="25"/>
      <c r="CA116" s="25"/>
      <c r="CB116" s="25"/>
      <c r="CC116" s="25"/>
      <c r="CD116" s="25"/>
      <c r="CE116" s="25"/>
      <c r="CF116" s="25"/>
      <c r="CG116" s="25"/>
      <c r="CH116" s="25"/>
      <c r="CI116" s="25"/>
      <c r="CJ116" s="25"/>
      <c r="CK116" s="25"/>
      <c r="CL116" s="25"/>
      <c r="CM116" s="25"/>
      <c r="CN116" s="25"/>
      <c r="CO116" s="25"/>
      <c r="CP116" s="25"/>
      <c r="CQ116" s="25"/>
      <c r="CR116" s="25"/>
      <c r="CS116" s="25"/>
      <c r="CT116" s="25"/>
      <c r="CU116" s="25"/>
      <c r="CV116" s="25"/>
      <c r="CW116" s="25"/>
      <c r="CX116" s="25"/>
      <c r="CY116" s="25"/>
      <c r="CZ116" s="25"/>
    </row>
    <row r="117" spans="1:104">
      <c r="A117" s="8" t="s">
        <v>19</v>
      </c>
      <c r="B117" s="8">
        <v>122</v>
      </c>
      <c r="C117" s="8" t="s">
        <v>19</v>
      </c>
      <c r="D117" s="8">
        <v>340</v>
      </c>
      <c r="E117" s="8" t="s">
        <v>20</v>
      </c>
      <c r="F117" s="8">
        <v>324</v>
      </c>
      <c r="G117" s="8" t="s">
        <v>21</v>
      </c>
      <c r="H117" s="8">
        <v>1734</v>
      </c>
      <c r="I117" s="8">
        <v>-0.464425164096205</v>
      </c>
      <c r="J117" s="8">
        <v>-0.423283029926917</v>
      </c>
      <c r="K117" s="8">
        <v>1.16992745858522</v>
      </c>
      <c r="L117" s="10"/>
      <c r="M117" s="10">
        <f t="shared" si="6"/>
        <v>297.555</v>
      </c>
      <c r="N117" s="18">
        <f t="shared" si="7"/>
        <v>175.555</v>
      </c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5"/>
      <c r="AM117" s="15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5"/>
      <c r="AZ117" s="15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5"/>
      <c r="BM117" s="15"/>
      <c r="BN117" s="21"/>
      <c r="BO117" s="16"/>
      <c r="BP117" s="16"/>
      <c r="BQ117" s="16"/>
      <c r="BR117" s="16"/>
      <c r="BS117" s="16"/>
      <c r="BT117" s="16"/>
      <c r="BU117" s="8"/>
      <c r="BV117" s="8"/>
      <c r="BW117" s="8"/>
      <c r="BX117" s="8"/>
      <c r="BY117" s="25"/>
      <c r="BZ117" s="25"/>
      <c r="CA117" s="25"/>
      <c r="CB117" s="25"/>
      <c r="CC117" s="25"/>
      <c r="CD117" s="25"/>
      <c r="CE117" s="25"/>
      <c r="CF117" s="25"/>
      <c r="CG117" s="25"/>
      <c r="CH117" s="25"/>
      <c r="CI117" s="25"/>
      <c r="CJ117" s="25"/>
      <c r="CK117" s="25"/>
      <c r="CL117" s="25"/>
      <c r="CM117" s="25"/>
      <c r="CN117" s="25"/>
      <c r="CO117" s="25"/>
      <c r="CP117" s="25"/>
      <c r="CQ117" s="25"/>
      <c r="CR117" s="25"/>
      <c r="CS117" s="25"/>
      <c r="CT117" s="25"/>
      <c r="CU117" s="25"/>
      <c r="CV117" s="25"/>
      <c r="CW117" s="25"/>
      <c r="CX117" s="25"/>
      <c r="CY117" s="25"/>
      <c r="CZ117" s="25"/>
    </row>
    <row r="118" spans="1:104">
      <c r="A118" s="8" t="s">
        <v>19</v>
      </c>
      <c r="B118" s="8">
        <v>122</v>
      </c>
      <c r="C118" s="8" t="s">
        <v>19</v>
      </c>
      <c r="D118" s="8">
        <v>340</v>
      </c>
      <c r="E118" s="8" t="s">
        <v>20</v>
      </c>
      <c r="F118" s="8">
        <v>361</v>
      </c>
      <c r="G118" s="8" t="s">
        <v>21</v>
      </c>
      <c r="H118" s="8">
        <v>1944</v>
      </c>
      <c r="I118" s="8">
        <v>-0.248313615322745</v>
      </c>
      <c r="J118" s="8">
        <v>-0.225362348189257</v>
      </c>
      <c r="K118" s="8">
        <v>1.83806952535842</v>
      </c>
      <c r="L118" s="10"/>
      <c r="M118" s="10">
        <f t="shared" si="6"/>
        <v>332.695</v>
      </c>
      <c r="N118" s="18">
        <f t="shared" si="7"/>
        <v>210.695</v>
      </c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5"/>
      <c r="AM118" s="15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5"/>
      <c r="AZ118" s="15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  <c r="BK118" s="16"/>
      <c r="BL118" s="15"/>
      <c r="BM118" s="15"/>
      <c r="BN118" s="21"/>
      <c r="BO118" s="16"/>
      <c r="BP118" s="16"/>
      <c r="BQ118" s="16"/>
      <c r="BR118" s="16"/>
      <c r="BS118" s="16"/>
      <c r="BT118" s="16"/>
      <c r="BU118" s="8"/>
      <c r="BV118" s="8"/>
      <c r="BW118" s="8"/>
      <c r="BX118" s="8"/>
      <c r="BY118" s="25"/>
      <c r="BZ118" s="25"/>
      <c r="CA118" s="25"/>
      <c r="CB118" s="25"/>
      <c r="CC118" s="25"/>
      <c r="CD118" s="25"/>
      <c r="CE118" s="25"/>
      <c r="CF118" s="25"/>
      <c r="CG118" s="25"/>
      <c r="CH118" s="25"/>
      <c r="CI118" s="25"/>
      <c r="CJ118" s="25"/>
      <c r="CK118" s="25"/>
      <c r="CL118" s="25"/>
      <c r="CM118" s="25"/>
      <c r="CN118" s="25"/>
      <c r="CO118" s="25"/>
      <c r="CP118" s="25"/>
      <c r="CQ118" s="25"/>
      <c r="CR118" s="25"/>
      <c r="CS118" s="25"/>
      <c r="CT118" s="25"/>
      <c r="CU118" s="25"/>
      <c r="CV118" s="25"/>
      <c r="CW118" s="25"/>
      <c r="CX118" s="25"/>
      <c r="CY118" s="25"/>
      <c r="CZ118" s="25"/>
    </row>
    <row r="119" spans="1:104">
      <c r="A119" s="8" t="s">
        <v>19</v>
      </c>
      <c r="B119" s="8">
        <v>122</v>
      </c>
      <c r="C119" s="8" t="s">
        <v>19</v>
      </c>
      <c r="D119" s="8">
        <v>340</v>
      </c>
      <c r="E119" s="8" t="s">
        <v>20</v>
      </c>
      <c r="F119" s="8">
        <v>400</v>
      </c>
      <c r="G119" s="8" t="s">
        <v>21</v>
      </c>
      <c r="H119" s="8">
        <v>2166</v>
      </c>
      <c r="I119" s="8">
        <v>3.4177053899209e-5</v>
      </c>
      <c r="J119" s="8">
        <v>-0.000270800228377676</v>
      </c>
      <c r="K119" s="8">
        <v>2.49283271938145</v>
      </c>
      <c r="L119" s="10"/>
      <c r="M119" s="10">
        <f t="shared" si="6"/>
        <v>369.795</v>
      </c>
      <c r="N119" s="18">
        <f t="shared" si="7"/>
        <v>247.795</v>
      </c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5"/>
      <c r="AM119" s="15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5"/>
      <c r="AZ119" s="15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5"/>
      <c r="BM119" s="15"/>
      <c r="BN119" s="21"/>
      <c r="BO119" s="16"/>
      <c r="BP119" s="16"/>
      <c r="BQ119" s="16"/>
      <c r="BR119" s="16"/>
      <c r="BS119" s="16"/>
      <c r="BT119" s="16"/>
      <c r="BU119" s="8"/>
      <c r="BV119" s="8"/>
      <c r="BW119" s="8"/>
      <c r="BX119" s="8"/>
      <c r="BY119" s="25"/>
      <c r="BZ119" s="25"/>
      <c r="CA119" s="25"/>
      <c r="CB119" s="25"/>
      <c r="CC119" s="25"/>
      <c r="CD119" s="25"/>
      <c r="CE119" s="25"/>
      <c r="CF119" s="25"/>
      <c r="CG119" s="25"/>
      <c r="CH119" s="25"/>
      <c r="CI119" s="25"/>
      <c r="CJ119" s="25"/>
      <c r="CK119" s="25"/>
      <c r="CL119" s="25"/>
      <c r="CM119" s="25"/>
      <c r="CN119" s="25"/>
      <c r="CO119" s="25"/>
      <c r="CP119" s="25"/>
      <c r="CQ119" s="25"/>
      <c r="CR119" s="25"/>
      <c r="CS119" s="25"/>
      <c r="CT119" s="25"/>
      <c r="CU119" s="25"/>
      <c r="CV119" s="25"/>
      <c r="CW119" s="25"/>
      <c r="CX119" s="25"/>
      <c r="CY119" s="25"/>
      <c r="CZ119" s="25"/>
    </row>
    <row r="120" spans="1:104">
      <c r="A120" s="8" t="s">
        <v>19</v>
      </c>
      <c r="B120" s="8">
        <v>122</v>
      </c>
      <c r="C120" s="8" t="s">
        <v>19</v>
      </c>
      <c r="D120" s="8">
        <v>340</v>
      </c>
      <c r="E120" s="8" t="s">
        <v>20</v>
      </c>
      <c r="F120" s="8">
        <v>441</v>
      </c>
      <c r="G120" s="8" t="s">
        <v>21</v>
      </c>
      <c r="H120" s="8">
        <v>2400</v>
      </c>
      <c r="I120" s="8">
        <v>-1.27847872120941e-6</v>
      </c>
      <c r="J120" s="8">
        <v>-2.98785699804848e-6</v>
      </c>
      <c r="K120" s="8">
        <v>1.80112813725225</v>
      </c>
      <c r="L120" s="10"/>
      <c r="M120" s="10">
        <f t="shared" si="6"/>
        <v>411.72</v>
      </c>
      <c r="N120" s="18">
        <f t="shared" si="7"/>
        <v>289.72</v>
      </c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5"/>
      <c r="AM120" s="15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5"/>
      <c r="AZ120" s="15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  <c r="BK120" s="16"/>
      <c r="BL120" s="15"/>
      <c r="BM120" s="15"/>
      <c r="BN120" s="21"/>
      <c r="BO120" s="16"/>
      <c r="BP120" s="16"/>
      <c r="BQ120" s="16"/>
      <c r="BR120" s="16"/>
      <c r="BS120" s="16"/>
      <c r="BT120" s="16"/>
      <c r="BU120" s="8"/>
      <c r="BV120" s="8"/>
      <c r="BW120" s="8"/>
      <c r="BX120" s="8"/>
      <c r="BY120" s="25"/>
      <c r="BZ120" s="25"/>
      <c r="CA120" s="25"/>
      <c r="CB120" s="25"/>
      <c r="CC120" s="25"/>
      <c r="CD120" s="25"/>
      <c r="CE120" s="25"/>
      <c r="CF120" s="25"/>
      <c r="CG120" s="25"/>
      <c r="CH120" s="25"/>
      <c r="CI120" s="25"/>
      <c r="CJ120" s="25"/>
      <c r="CK120" s="25"/>
      <c r="CL120" s="25"/>
      <c r="CM120" s="25"/>
      <c r="CN120" s="25"/>
      <c r="CO120" s="25"/>
      <c r="CP120" s="25"/>
      <c r="CQ120" s="25"/>
      <c r="CR120" s="25"/>
      <c r="CS120" s="25"/>
      <c r="CT120" s="25"/>
      <c r="CU120" s="25"/>
      <c r="CV120" s="25"/>
      <c r="CW120" s="25"/>
      <c r="CX120" s="25"/>
      <c r="CY120" s="25"/>
      <c r="CZ120" s="25"/>
    </row>
    <row r="121" spans="1:104">
      <c r="A121" s="8" t="s">
        <v>19</v>
      </c>
      <c r="B121" s="8">
        <v>122</v>
      </c>
      <c r="C121" s="8" t="s">
        <v>19</v>
      </c>
      <c r="D121" s="8">
        <v>340</v>
      </c>
      <c r="E121" s="8" t="s">
        <v>20</v>
      </c>
      <c r="F121" s="8">
        <v>484</v>
      </c>
      <c r="G121" s="8" t="s">
        <v>21</v>
      </c>
      <c r="H121" s="8">
        <v>2646</v>
      </c>
      <c r="I121" s="8">
        <v>-1.11440721689967e-6</v>
      </c>
      <c r="J121" s="8">
        <v>-1.49616720893129e-6</v>
      </c>
      <c r="K121" s="8">
        <v>1.60403699750986</v>
      </c>
      <c r="L121" s="10"/>
      <c r="M121" s="10">
        <f t="shared" si="6"/>
        <v>452.88</v>
      </c>
      <c r="N121" s="18">
        <f t="shared" si="7"/>
        <v>330.88</v>
      </c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5"/>
      <c r="AM121" s="15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5"/>
      <c r="AZ121" s="15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  <c r="BK121" s="16"/>
      <c r="BL121" s="15"/>
      <c r="BM121" s="15"/>
      <c r="BN121" s="21"/>
      <c r="BO121" s="16"/>
      <c r="BP121" s="16"/>
      <c r="BQ121" s="16"/>
      <c r="BR121" s="16"/>
      <c r="BS121" s="16"/>
      <c r="BT121" s="16"/>
      <c r="BU121" s="8"/>
      <c r="BV121" s="8"/>
      <c r="BW121" s="8"/>
      <c r="BX121" s="8"/>
      <c r="BY121" s="25"/>
      <c r="BZ121" s="25"/>
      <c r="CA121" s="25"/>
      <c r="CB121" s="25"/>
      <c r="CC121" s="25"/>
      <c r="CD121" s="25"/>
      <c r="CE121" s="25"/>
      <c r="CF121" s="25"/>
      <c r="CG121" s="25"/>
      <c r="CH121" s="25"/>
      <c r="CI121" s="25"/>
      <c r="CJ121" s="25"/>
      <c r="CK121" s="25"/>
      <c r="CL121" s="25"/>
      <c r="CM121" s="25"/>
      <c r="CN121" s="25"/>
      <c r="CO121" s="25"/>
      <c r="CP121" s="25"/>
      <c r="CQ121" s="25"/>
      <c r="CR121" s="25"/>
      <c r="CS121" s="25"/>
      <c r="CT121" s="25"/>
      <c r="CU121" s="25"/>
      <c r="CV121" s="25"/>
      <c r="CW121" s="25"/>
      <c r="CX121" s="25"/>
      <c r="CY121" s="25"/>
      <c r="CZ121" s="25"/>
    </row>
    <row r="122" spans="1:104">
      <c r="A122" s="8" t="s">
        <v>19</v>
      </c>
      <c r="B122" s="8">
        <v>122</v>
      </c>
      <c r="C122" s="8" t="s">
        <v>19</v>
      </c>
      <c r="D122" s="8">
        <v>340</v>
      </c>
      <c r="E122" s="8" t="s">
        <v>20</v>
      </c>
      <c r="F122" s="8">
        <v>529</v>
      </c>
      <c r="G122" s="8" t="s">
        <v>21</v>
      </c>
      <c r="H122" s="8">
        <v>2904</v>
      </c>
      <c r="I122" s="8">
        <v>-1.13059622730488e-6</v>
      </c>
      <c r="J122" s="8">
        <v>-1.27122206691731e-6</v>
      </c>
      <c r="K122" s="8">
        <v>1.53895210801738</v>
      </c>
      <c r="L122" s="10"/>
      <c r="M122" s="10">
        <f t="shared" si="6"/>
        <v>496</v>
      </c>
      <c r="N122" s="18">
        <f t="shared" si="7"/>
        <v>374</v>
      </c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5"/>
      <c r="AM122" s="15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5"/>
      <c r="AZ122" s="15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  <c r="BK122" s="16"/>
      <c r="BL122" s="15"/>
      <c r="BM122" s="15"/>
      <c r="BN122" s="21"/>
      <c r="BO122" s="16"/>
      <c r="BP122" s="16"/>
      <c r="BQ122" s="16"/>
      <c r="BR122" s="16"/>
      <c r="BS122" s="16"/>
      <c r="BT122" s="16"/>
      <c r="BU122" s="8"/>
      <c r="BV122" s="8"/>
      <c r="BW122" s="8"/>
      <c r="BX122" s="8"/>
      <c r="BY122" s="25"/>
      <c r="BZ122" s="25"/>
      <c r="CA122" s="25"/>
      <c r="CB122" s="25"/>
      <c r="CC122" s="25"/>
      <c r="CD122" s="25"/>
      <c r="CE122" s="25"/>
      <c r="CF122" s="25"/>
      <c r="CG122" s="25"/>
      <c r="CH122" s="25"/>
      <c r="CI122" s="25"/>
      <c r="CJ122" s="25"/>
      <c r="CK122" s="25"/>
      <c r="CL122" s="25"/>
      <c r="CM122" s="25"/>
      <c r="CN122" s="25"/>
      <c r="CO122" s="25"/>
      <c r="CP122" s="25"/>
      <c r="CQ122" s="25"/>
      <c r="CR122" s="25"/>
      <c r="CS122" s="25"/>
      <c r="CT122" s="25"/>
      <c r="CU122" s="25"/>
      <c r="CV122" s="25"/>
      <c r="CW122" s="25"/>
      <c r="CX122" s="25"/>
      <c r="CY122" s="25"/>
      <c r="CZ122" s="25"/>
    </row>
    <row r="123" spans="1:104">
      <c r="A123" s="8" t="s">
        <v>19</v>
      </c>
      <c r="B123" s="8">
        <v>122</v>
      </c>
      <c r="C123" s="8" t="s">
        <v>19</v>
      </c>
      <c r="D123" s="8">
        <v>340</v>
      </c>
      <c r="E123" s="8" t="s">
        <v>20</v>
      </c>
      <c r="F123" s="8">
        <v>576</v>
      </c>
      <c r="G123" s="8" t="s">
        <v>21</v>
      </c>
      <c r="H123" s="8">
        <v>3174</v>
      </c>
      <c r="I123" s="8">
        <v>-5.96548008402949e-7</v>
      </c>
      <c r="J123" s="8">
        <v>-8.71633763819419e-7</v>
      </c>
      <c r="K123" s="8">
        <v>1.49939427794015</v>
      </c>
      <c r="L123" s="10"/>
      <c r="M123" s="10">
        <f t="shared" si="6"/>
        <v>541.08</v>
      </c>
      <c r="N123" s="18">
        <f t="shared" si="7"/>
        <v>419.08</v>
      </c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5"/>
      <c r="AM123" s="15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5"/>
      <c r="AZ123" s="15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  <c r="BK123" s="16"/>
      <c r="BL123" s="15"/>
      <c r="BM123" s="15"/>
      <c r="BN123" s="21"/>
      <c r="BO123" s="16"/>
      <c r="BP123" s="16"/>
      <c r="BQ123" s="16"/>
      <c r="BR123" s="16"/>
      <c r="BS123" s="16"/>
      <c r="BT123" s="16"/>
      <c r="BU123" s="8"/>
      <c r="BV123" s="8"/>
      <c r="BW123" s="8"/>
      <c r="BX123" s="8"/>
      <c r="BY123" s="25"/>
      <c r="BZ123" s="25"/>
      <c r="CA123" s="25"/>
      <c r="CB123" s="25"/>
      <c r="CC123" s="25"/>
      <c r="CD123" s="25"/>
      <c r="CE123" s="25"/>
      <c r="CF123" s="25"/>
      <c r="CG123" s="25"/>
      <c r="CH123" s="25"/>
      <c r="CI123" s="25"/>
      <c r="CJ123" s="25"/>
      <c r="CK123" s="25"/>
      <c r="CL123" s="25"/>
      <c r="CM123" s="25"/>
      <c r="CN123" s="25"/>
      <c r="CO123" s="25"/>
      <c r="CP123" s="25"/>
      <c r="CQ123" s="25"/>
      <c r="CR123" s="25"/>
      <c r="CS123" s="25"/>
      <c r="CT123" s="25"/>
      <c r="CU123" s="25"/>
      <c r="CV123" s="25"/>
      <c r="CW123" s="25"/>
      <c r="CX123" s="25"/>
      <c r="CY123" s="25"/>
      <c r="CZ123" s="25"/>
    </row>
    <row r="124" spans="1:104">
      <c r="A124" s="8" t="s">
        <v>19</v>
      </c>
      <c r="B124" s="8">
        <v>122</v>
      </c>
      <c r="C124" s="8" t="s">
        <v>19</v>
      </c>
      <c r="D124" s="8">
        <v>340</v>
      </c>
      <c r="E124" s="8" t="s">
        <v>20</v>
      </c>
      <c r="F124" s="8">
        <v>625</v>
      </c>
      <c r="G124" s="8" t="s">
        <v>21</v>
      </c>
      <c r="H124" s="8">
        <v>3456</v>
      </c>
      <c r="I124" s="8">
        <v>-5.848373542065e-7</v>
      </c>
      <c r="J124" s="8">
        <v>-7.95199384038942e-7</v>
      </c>
      <c r="K124" s="8">
        <v>1.46727371688346</v>
      </c>
      <c r="L124" s="10"/>
      <c r="M124" s="10">
        <f t="shared" si="6"/>
        <v>588.12</v>
      </c>
      <c r="N124" s="18">
        <f t="shared" si="7"/>
        <v>466.12</v>
      </c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5"/>
      <c r="AM124" s="15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5"/>
      <c r="AZ124" s="15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5"/>
      <c r="BM124" s="15"/>
      <c r="BN124" s="21"/>
      <c r="BO124" s="16"/>
      <c r="BP124" s="16"/>
      <c r="BQ124" s="16"/>
      <c r="BR124" s="16"/>
      <c r="BS124" s="16"/>
      <c r="BT124" s="16"/>
      <c r="BU124" s="8"/>
      <c r="BV124" s="8"/>
      <c r="BW124" s="8"/>
      <c r="BX124" s="8"/>
      <c r="BY124" s="25"/>
      <c r="BZ124" s="25"/>
      <c r="CA124" s="25"/>
      <c r="CB124" s="25"/>
      <c r="CC124" s="25"/>
      <c r="CD124" s="25"/>
      <c r="CE124" s="25"/>
      <c r="CF124" s="25"/>
      <c r="CG124" s="25"/>
      <c r="CH124" s="25"/>
      <c r="CI124" s="25"/>
      <c r="CJ124" s="25"/>
      <c r="CK124" s="25"/>
      <c r="CL124" s="25"/>
      <c r="CM124" s="25"/>
      <c r="CN124" s="25"/>
      <c r="CO124" s="25"/>
      <c r="CP124" s="25"/>
      <c r="CQ124" s="25"/>
      <c r="CR124" s="25"/>
      <c r="CS124" s="25"/>
      <c r="CT124" s="25"/>
      <c r="CU124" s="25"/>
      <c r="CV124" s="25"/>
      <c r="CW124" s="25"/>
      <c r="CX124" s="25"/>
      <c r="CY124" s="25"/>
      <c r="CZ124" s="25"/>
    </row>
    <row r="125" spans="1:104">
      <c r="A125" s="8" t="s">
        <v>19</v>
      </c>
      <c r="B125" s="8">
        <v>122</v>
      </c>
      <c r="C125" s="8" t="s">
        <v>19</v>
      </c>
      <c r="D125" s="8">
        <v>340</v>
      </c>
      <c r="E125" s="8" t="s">
        <v>20</v>
      </c>
      <c r="F125" s="8">
        <v>676</v>
      </c>
      <c r="G125" s="8" t="s">
        <v>21</v>
      </c>
      <c r="H125" s="8">
        <v>3750</v>
      </c>
      <c r="I125" s="8">
        <v>-5.09030553875869e-7</v>
      </c>
      <c r="J125" s="8">
        <v>-6.87927305197299e-7</v>
      </c>
      <c r="K125" s="8">
        <v>1.43419313382494</v>
      </c>
      <c r="L125" s="10"/>
      <c r="M125" s="10">
        <f t="shared" si="6"/>
        <v>637.12</v>
      </c>
      <c r="N125" s="18">
        <f t="shared" si="7"/>
        <v>515.12</v>
      </c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5"/>
      <c r="AM125" s="15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5"/>
      <c r="AZ125" s="15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  <c r="BK125" s="16"/>
      <c r="BL125" s="15"/>
      <c r="BM125" s="15"/>
      <c r="BN125" s="21"/>
      <c r="BO125" s="16"/>
      <c r="BP125" s="16"/>
      <c r="BQ125" s="16"/>
      <c r="BR125" s="16"/>
      <c r="BS125" s="16"/>
      <c r="BT125" s="16"/>
      <c r="BU125" s="8"/>
      <c r="BV125" s="8"/>
      <c r="BW125" s="8"/>
      <c r="BX125" s="8"/>
      <c r="BY125" s="25"/>
      <c r="BZ125" s="25"/>
      <c r="CA125" s="25"/>
      <c r="CB125" s="25"/>
      <c r="CC125" s="25"/>
      <c r="CD125" s="25"/>
      <c r="CE125" s="25"/>
      <c r="CF125" s="25"/>
      <c r="CG125" s="25"/>
      <c r="CH125" s="25"/>
      <c r="CI125" s="25"/>
      <c r="CJ125" s="25"/>
      <c r="CK125" s="25"/>
      <c r="CL125" s="25"/>
      <c r="CM125" s="25"/>
      <c r="CN125" s="25"/>
      <c r="CO125" s="25"/>
      <c r="CP125" s="25"/>
      <c r="CQ125" s="25"/>
      <c r="CR125" s="25"/>
      <c r="CS125" s="25"/>
      <c r="CT125" s="25"/>
      <c r="CU125" s="25"/>
      <c r="CV125" s="25"/>
      <c r="CW125" s="25"/>
      <c r="CX125" s="25"/>
      <c r="CY125" s="25"/>
      <c r="CZ125" s="25"/>
    </row>
    <row r="126" spans="1:104">
      <c r="A126" s="8" t="s">
        <v>19</v>
      </c>
      <c r="B126" s="8">
        <v>122</v>
      </c>
      <c r="C126" s="8" t="s">
        <v>19</v>
      </c>
      <c r="D126" s="8">
        <v>340</v>
      </c>
      <c r="E126" s="8" t="s">
        <v>20</v>
      </c>
      <c r="F126" s="8">
        <v>729</v>
      </c>
      <c r="G126" s="8" t="s">
        <v>21</v>
      </c>
      <c r="H126" s="8">
        <v>4056</v>
      </c>
      <c r="I126" s="8">
        <v>-4.01858510069753e-7</v>
      </c>
      <c r="J126" s="8">
        <v>-5.69440646552705e-7</v>
      </c>
      <c r="K126" s="8">
        <v>1.39928527031343</v>
      </c>
      <c r="L126" s="10"/>
      <c r="M126" s="10">
        <f t="shared" si="6"/>
        <v>688.08</v>
      </c>
      <c r="N126" s="18">
        <f t="shared" si="7"/>
        <v>566.08</v>
      </c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5"/>
      <c r="AM126" s="15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5"/>
      <c r="AZ126" s="15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  <c r="BK126" s="16"/>
      <c r="BL126" s="15"/>
      <c r="BM126" s="15"/>
      <c r="BN126" s="21"/>
      <c r="BO126" s="16"/>
      <c r="BP126" s="16"/>
      <c r="BQ126" s="16"/>
      <c r="BR126" s="16"/>
      <c r="BS126" s="16"/>
      <c r="BT126" s="16"/>
      <c r="BU126" s="8"/>
      <c r="BV126" s="8"/>
      <c r="BW126" s="8"/>
      <c r="BX126" s="8"/>
      <c r="BY126" s="25"/>
      <c r="BZ126" s="25"/>
      <c r="CA126" s="25"/>
      <c r="CB126" s="25"/>
      <c r="CC126" s="25"/>
      <c r="CD126" s="25"/>
      <c r="CE126" s="25"/>
      <c r="CF126" s="25"/>
      <c r="CG126" s="25"/>
      <c r="CH126" s="25"/>
      <c r="CI126" s="25"/>
      <c r="CJ126" s="25"/>
      <c r="CK126" s="25"/>
      <c r="CL126" s="25"/>
      <c r="CM126" s="25"/>
      <c r="CN126" s="25"/>
      <c r="CO126" s="25"/>
      <c r="CP126" s="25"/>
      <c r="CQ126" s="25"/>
      <c r="CR126" s="25"/>
      <c r="CS126" s="25"/>
      <c r="CT126" s="25"/>
      <c r="CU126" s="25"/>
      <c r="CV126" s="25"/>
      <c r="CW126" s="25"/>
      <c r="CX126" s="25"/>
      <c r="CY126" s="25"/>
      <c r="CZ126" s="25"/>
    </row>
    <row r="127" spans="1:104">
      <c r="A127" s="8" t="s">
        <v>19</v>
      </c>
      <c r="B127" s="8">
        <v>122</v>
      </c>
      <c r="C127" s="8" t="s">
        <v>19</v>
      </c>
      <c r="D127" s="8">
        <v>340</v>
      </c>
      <c r="E127" s="8" t="s">
        <v>20</v>
      </c>
      <c r="F127" s="8">
        <v>784</v>
      </c>
      <c r="G127" s="8" t="s">
        <v>21</v>
      </c>
      <c r="H127" s="8">
        <v>4374</v>
      </c>
      <c r="I127" s="8">
        <v>-4.23297754914756e-7</v>
      </c>
      <c r="J127" s="8">
        <v>-5.47078995352408e-7</v>
      </c>
      <c r="K127" s="8">
        <v>1.37566098777447</v>
      </c>
      <c r="L127" s="10"/>
      <c r="M127" s="10">
        <f t="shared" si="6"/>
        <v>744.855</v>
      </c>
      <c r="N127" s="18">
        <f t="shared" si="7"/>
        <v>622.855</v>
      </c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5"/>
      <c r="AM127" s="15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5"/>
      <c r="AZ127" s="15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  <c r="BK127" s="16"/>
      <c r="BL127" s="15"/>
      <c r="BM127" s="15"/>
      <c r="BN127" s="21"/>
      <c r="BO127" s="16"/>
      <c r="BP127" s="16"/>
      <c r="BQ127" s="16"/>
      <c r="BR127" s="16"/>
      <c r="BS127" s="16"/>
      <c r="BT127" s="16"/>
      <c r="BU127" s="8"/>
      <c r="BV127" s="8"/>
      <c r="BW127" s="8"/>
      <c r="BX127" s="8"/>
      <c r="BY127" s="25"/>
      <c r="BZ127" s="25"/>
      <c r="CA127" s="25"/>
      <c r="CB127" s="25"/>
      <c r="CC127" s="25"/>
      <c r="CD127" s="25"/>
      <c r="CE127" s="25"/>
      <c r="CF127" s="25"/>
      <c r="CG127" s="25"/>
      <c r="CH127" s="25"/>
      <c r="CI127" s="25"/>
      <c r="CJ127" s="25"/>
      <c r="CK127" s="25"/>
      <c r="CL127" s="25"/>
      <c r="CM127" s="25"/>
      <c r="CN127" s="25"/>
      <c r="CO127" s="25"/>
      <c r="CP127" s="25"/>
      <c r="CQ127" s="25"/>
      <c r="CR127" s="25"/>
      <c r="CS127" s="25"/>
      <c r="CT127" s="25"/>
      <c r="CU127" s="25"/>
      <c r="CV127" s="25"/>
      <c r="CW127" s="25"/>
      <c r="CX127" s="25"/>
      <c r="CY127" s="25"/>
      <c r="CZ127" s="25"/>
    </row>
    <row r="128" spans="1:104">
      <c r="A128" s="8" t="s">
        <v>19</v>
      </c>
      <c r="B128" s="8">
        <v>122</v>
      </c>
      <c r="C128" s="8" t="s">
        <v>19</v>
      </c>
      <c r="D128" s="8">
        <v>340</v>
      </c>
      <c r="E128" s="8" t="s">
        <v>20</v>
      </c>
      <c r="F128" s="8">
        <v>841</v>
      </c>
      <c r="G128" s="8" t="s">
        <v>21</v>
      </c>
      <c r="H128" s="8">
        <v>4704</v>
      </c>
      <c r="I128" s="8">
        <v>-3.37773269122687e-7</v>
      </c>
      <c r="J128" s="8">
        <v>-4.51623367905044e-7</v>
      </c>
      <c r="K128" s="8">
        <v>1.33893409321021</v>
      </c>
      <c r="L128" s="10"/>
      <c r="M128" s="10">
        <f t="shared" si="6"/>
        <v>799.875</v>
      </c>
      <c r="N128" s="18">
        <f t="shared" si="7"/>
        <v>677.875</v>
      </c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5"/>
      <c r="AM128" s="15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5"/>
      <c r="AZ128" s="15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  <c r="BK128" s="16"/>
      <c r="BL128" s="15"/>
      <c r="BM128" s="15"/>
      <c r="BN128" s="21"/>
      <c r="BO128" s="16"/>
      <c r="BP128" s="16"/>
      <c r="BQ128" s="16"/>
      <c r="BR128" s="16"/>
      <c r="BS128" s="16"/>
      <c r="BT128" s="16"/>
      <c r="BU128" s="8"/>
      <c r="BV128" s="8"/>
      <c r="BW128" s="8"/>
      <c r="BX128" s="8"/>
      <c r="BY128" s="25"/>
      <c r="BZ128" s="25"/>
      <c r="CA128" s="25"/>
      <c r="CB128" s="25"/>
      <c r="CC128" s="25"/>
      <c r="CD128" s="25"/>
      <c r="CE128" s="25"/>
      <c r="CF128" s="25"/>
      <c r="CG128" s="25"/>
      <c r="CH128" s="25"/>
      <c r="CI128" s="25"/>
      <c r="CJ128" s="25"/>
      <c r="CK128" s="25"/>
      <c r="CL128" s="25"/>
      <c r="CM128" s="25"/>
      <c r="CN128" s="25"/>
      <c r="CO128" s="25"/>
      <c r="CP128" s="25"/>
      <c r="CQ128" s="25"/>
      <c r="CR128" s="25"/>
      <c r="CS128" s="25"/>
      <c r="CT128" s="25"/>
      <c r="CU128" s="25"/>
      <c r="CV128" s="25"/>
      <c r="CW128" s="25"/>
      <c r="CX128" s="25"/>
      <c r="CY128" s="25"/>
      <c r="CZ128" s="25"/>
    </row>
    <row r="129" spans="1:104">
      <c r="A129" s="8" t="s">
        <v>19</v>
      </c>
      <c r="B129" s="8">
        <v>122</v>
      </c>
      <c r="C129" s="8" t="s">
        <v>19</v>
      </c>
      <c r="D129" s="8">
        <v>340</v>
      </c>
      <c r="E129" s="8" t="s">
        <v>20</v>
      </c>
      <c r="F129" s="8">
        <v>900</v>
      </c>
      <c r="G129" s="8" t="s">
        <v>21</v>
      </c>
      <c r="H129" s="8">
        <v>5046</v>
      </c>
      <c r="I129" s="8">
        <v>-4.06845092881346e-7</v>
      </c>
      <c r="J129" s="8">
        <v>-4.86354980006721e-7</v>
      </c>
      <c r="K129" s="8">
        <v>1.33592086600469</v>
      </c>
      <c r="L129" s="10"/>
      <c r="M129" s="10">
        <f t="shared" si="6"/>
        <v>856.855</v>
      </c>
      <c r="N129" s="18">
        <f t="shared" si="7"/>
        <v>734.855</v>
      </c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5"/>
      <c r="AM129" s="15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5"/>
      <c r="AZ129" s="15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5"/>
      <c r="BM129" s="15"/>
      <c r="BN129" s="21"/>
      <c r="BO129" s="16"/>
      <c r="BP129" s="16"/>
      <c r="BQ129" s="16"/>
      <c r="BR129" s="16"/>
      <c r="BS129" s="16"/>
      <c r="BT129" s="16"/>
      <c r="BU129" s="8"/>
      <c r="BV129" s="8"/>
      <c r="BW129" s="8"/>
      <c r="BX129" s="8"/>
      <c r="BY129" s="25"/>
      <c r="BZ129" s="25"/>
      <c r="CA129" s="25"/>
      <c r="CB129" s="25"/>
      <c r="CC129" s="25"/>
      <c r="CD129" s="25"/>
      <c r="CE129" s="25"/>
      <c r="CF129" s="25"/>
      <c r="CG129" s="25"/>
      <c r="CH129" s="25"/>
      <c r="CI129" s="25"/>
      <c r="CJ129" s="25"/>
      <c r="CK129" s="25"/>
      <c r="CL129" s="25"/>
      <c r="CM129" s="25"/>
      <c r="CN129" s="25"/>
      <c r="CO129" s="25"/>
      <c r="CP129" s="25"/>
      <c r="CQ129" s="25"/>
      <c r="CR129" s="25"/>
      <c r="CS129" s="25"/>
      <c r="CT129" s="25"/>
      <c r="CU129" s="25"/>
      <c r="CV129" s="25"/>
      <c r="CW129" s="25"/>
      <c r="CX129" s="25"/>
      <c r="CY129" s="25"/>
      <c r="CZ129" s="25"/>
    </row>
    <row r="130" spans="1:104">
      <c r="A130" s="8" t="s">
        <v>19</v>
      </c>
      <c r="B130" s="8">
        <v>122</v>
      </c>
      <c r="C130" s="8" t="s">
        <v>19</v>
      </c>
      <c r="D130" s="8">
        <v>340</v>
      </c>
      <c r="E130" s="8" t="s">
        <v>20</v>
      </c>
      <c r="F130" s="8">
        <v>961</v>
      </c>
      <c r="G130" s="8" t="s">
        <v>21</v>
      </c>
      <c r="H130" s="8">
        <v>5400</v>
      </c>
      <c r="I130" s="8">
        <v>-3.44750911314765e-7</v>
      </c>
      <c r="J130" s="8">
        <v>-4.18384866806347e-7</v>
      </c>
      <c r="K130" s="8">
        <v>1.30605276269314</v>
      </c>
      <c r="L130" s="10"/>
      <c r="M130" s="10">
        <f t="shared" si="6"/>
        <v>915.795</v>
      </c>
      <c r="N130" s="18">
        <f t="shared" si="7"/>
        <v>793.795</v>
      </c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5"/>
      <c r="AM130" s="15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5"/>
      <c r="AZ130" s="15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5"/>
      <c r="BM130" s="15"/>
      <c r="BN130" s="21"/>
      <c r="BO130" s="16"/>
      <c r="BP130" s="16"/>
      <c r="BQ130" s="16"/>
      <c r="BR130" s="16"/>
      <c r="BS130" s="16"/>
      <c r="BT130" s="16"/>
      <c r="BU130" s="8"/>
      <c r="BV130" s="8"/>
      <c r="BW130" s="8"/>
      <c r="BX130" s="8"/>
      <c r="BY130" s="25"/>
      <c r="BZ130" s="25"/>
      <c r="CA130" s="25"/>
      <c r="CB130" s="25"/>
      <c r="CC130" s="25"/>
      <c r="CD130" s="25"/>
      <c r="CE130" s="25"/>
      <c r="CF130" s="25"/>
      <c r="CG130" s="25"/>
      <c r="CH130" s="25"/>
      <c r="CI130" s="25"/>
      <c r="CJ130" s="25"/>
      <c r="CK130" s="25"/>
      <c r="CL130" s="25"/>
      <c r="CM130" s="25"/>
      <c r="CN130" s="25"/>
      <c r="CO130" s="25"/>
      <c r="CP130" s="25"/>
      <c r="CQ130" s="25"/>
      <c r="CR130" s="25"/>
      <c r="CS130" s="25"/>
      <c r="CT130" s="25"/>
      <c r="CU130" s="25"/>
      <c r="CV130" s="25"/>
      <c r="CW130" s="25"/>
      <c r="CX130" s="25"/>
      <c r="CY130" s="25"/>
      <c r="CZ130" s="25"/>
    </row>
    <row r="131" spans="1:104">
      <c r="A131" s="8" t="s">
        <v>19</v>
      </c>
      <c r="B131" s="8">
        <v>122</v>
      </c>
      <c r="C131" s="8" t="s">
        <v>19</v>
      </c>
      <c r="D131" s="8">
        <v>340</v>
      </c>
      <c r="E131" s="8" t="s">
        <v>20</v>
      </c>
      <c r="F131" s="8">
        <v>1024</v>
      </c>
      <c r="G131" s="8" t="s">
        <v>21</v>
      </c>
      <c r="H131" s="8">
        <v>5766</v>
      </c>
      <c r="I131" s="8">
        <v>-3.50420177934317e-7</v>
      </c>
      <c r="J131" s="8">
        <v>-4.22057695654855e-7</v>
      </c>
      <c r="K131" s="8">
        <v>1.30614337917093</v>
      </c>
      <c r="L131" s="10"/>
      <c r="M131" s="10">
        <f t="shared" si="6"/>
        <v>976.695</v>
      </c>
      <c r="N131" s="18">
        <f t="shared" si="7"/>
        <v>854.695</v>
      </c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5"/>
      <c r="AM131" s="15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5"/>
      <c r="AZ131" s="15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16"/>
      <c r="BL131" s="15"/>
      <c r="BM131" s="15"/>
      <c r="BN131" s="21"/>
      <c r="BO131" s="16"/>
      <c r="BP131" s="16"/>
      <c r="BQ131" s="16"/>
      <c r="BR131" s="16"/>
      <c r="BS131" s="16"/>
      <c r="BT131" s="16"/>
      <c r="BU131" s="8"/>
      <c r="BV131" s="8"/>
      <c r="BW131" s="8"/>
      <c r="BX131" s="8"/>
      <c r="BY131" s="25"/>
      <c r="BZ131" s="25"/>
      <c r="CA131" s="25"/>
      <c r="CB131" s="25"/>
      <c r="CC131" s="25"/>
      <c r="CD131" s="25"/>
      <c r="CE131" s="25"/>
      <c r="CF131" s="25"/>
      <c r="CG131" s="25"/>
      <c r="CH131" s="25"/>
      <c r="CI131" s="25"/>
      <c r="CJ131" s="25"/>
      <c r="CK131" s="25"/>
      <c r="CL131" s="25"/>
      <c r="CM131" s="25"/>
      <c r="CN131" s="25"/>
      <c r="CO131" s="25"/>
      <c r="CP131" s="25"/>
      <c r="CQ131" s="25"/>
      <c r="CR131" s="25"/>
      <c r="CS131" s="25"/>
      <c r="CT131" s="25"/>
      <c r="CU131" s="25"/>
      <c r="CV131" s="25"/>
      <c r="CW131" s="25"/>
      <c r="CX131" s="25"/>
      <c r="CY131" s="25"/>
      <c r="CZ131" s="25"/>
    </row>
    <row r="132" spans="1:104">
      <c r="A132" s="8" t="s">
        <v>19</v>
      </c>
      <c r="B132" s="8">
        <v>122</v>
      </c>
      <c r="C132" s="8" t="s">
        <v>19</v>
      </c>
      <c r="D132" s="8">
        <v>340</v>
      </c>
      <c r="E132" s="8" t="s">
        <v>20</v>
      </c>
      <c r="F132" s="8">
        <v>1089</v>
      </c>
      <c r="G132" s="8" t="s">
        <v>21</v>
      </c>
      <c r="H132" s="8">
        <v>6144</v>
      </c>
      <c r="I132" s="8">
        <v>-3.24687553841439e-7</v>
      </c>
      <c r="J132" s="8">
        <v>-3.89365806998319e-7</v>
      </c>
      <c r="K132" s="8">
        <v>1.28828639090851</v>
      </c>
      <c r="L132" s="10"/>
      <c r="M132" s="10">
        <f t="shared" si="6"/>
        <v>1039.555</v>
      </c>
      <c r="N132" s="18">
        <f t="shared" si="7"/>
        <v>917.555</v>
      </c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5"/>
      <c r="AM132" s="15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5"/>
      <c r="AZ132" s="15"/>
      <c r="BA132" s="16"/>
      <c r="BB132" s="16"/>
      <c r="BC132" s="16"/>
      <c r="BD132" s="16"/>
      <c r="BE132" s="16"/>
      <c r="BF132" s="16"/>
      <c r="BG132" s="16"/>
      <c r="BH132" s="16"/>
      <c r="BI132" s="16"/>
      <c r="BJ132" s="16"/>
      <c r="BK132" s="16"/>
      <c r="BL132" s="15"/>
      <c r="BM132" s="15"/>
      <c r="BN132" s="21"/>
      <c r="BO132" s="16"/>
      <c r="BP132" s="16"/>
      <c r="BQ132" s="16"/>
      <c r="BR132" s="16"/>
      <c r="BS132" s="16"/>
      <c r="BT132" s="16"/>
      <c r="BU132" s="8"/>
      <c r="BV132" s="8"/>
      <c r="BW132" s="8"/>
      <c r="BX132" s="8"/>
      <c r="BY132" s="25"/>
      <c r="BZ132" s="25"/>
      <c r="CA132" s="25"/>
      <c r="CB132" s="25"/>
      <c r="CC132" s="25"/>
      <c r="CD132" s="25"/>
      <c r="CE132" s="25"/>
      <c r="CF132" s="25"/>
      <c r="CG132" s="25"/>
      <c r="CH132" s="25"/>
      <c r="CI132" s="25"/>
      <c r="CJ132" s="25"/>
      <c r="CK132" s="25"/>
      <c r="CL132" s="25"/>
      <c r="CM132" s="25"/>
      <c r="CN132" s="25"/>
      <c r="CO132" s="25"/>
      <c r="CP132" s="25"/>
      <c r="CQ132" s="25"/>
      <c r="CR132" s="25"/>
      <c r="CS132" s="25"/>
      <c r="CT132" s="25"/>
      <c r="CU132" s="25"/>
      <c r="CV132" s="25"/>
      <c r="CW132" s="25"/>
      <c r="CX132" s="25"/>
      <c r="CY132" s="25"/>
      <c r="CZ132" s="25"/>
    </row>
    <row r="133" ht="23.25" spans="1:104">
      <c r="A133" s="7" t="s">
        <v>25</v>
      </c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10"/>
      <c r="M133" s="10"/>
      <c r="N133" s="18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5"/>
      <c r="Z133" s="15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5"/>
      <c r="AM133" s="15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5"/>
      <c r="AZ133" s="15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15"/>
      <c r="BM133" s="15"/>
      <c r="BN133" s="21"/>
      <c r="BO133" s="16"/>
      <c r="BP133" s="16"/>
      <c r="BQ133" s="16"/>
      <c r="BR133" s="16"/>
      <c r="BS133" s="16"/>
      <c r="BT133" s="16"/>
      <c r="BU133" s="8"/>
      <c r="BV133" s="8"/>
      <c r="BW133" s="8"/>
      <c r="BX133" s="8"/>
      <c r="BY133" s="25"/>
      <c r="BZ133" s="25"/>
      <c r="CA133" s="25"/>
      <c r="CB133" s="25"/>
      <c r="CC133" s="25"/>
      <c r="CD133" s="25"/>
      <c r="CE133" s="25"/>
      <c r="CF133" s="25"/>
      <c r="CG133" s="25"/>
      <c r="CH133" s="25"/>
      <c r="CI133" s="25"/>
      <c r="CJ133" s="25"/>
      <c r="CK133" s="25"/>
      <c r="CL133" s="25"/>
      <c r="CM133" s="25"/>
      <c r="CN133" s="25"/>
      <c r="CO133" s="25"/>
      <c r="CP133" s="25"/>
      <c r="CQ133" s="25"/>
      <c r="CR133" s="25"/>
      <c r="CS133" s="25"/>
      <c r="CT133" s="25"/>
      <c r="CU133" s="25"/>
      <c r="CV133" s="25"/>
      <c r="CW133" s="25"/>
      <c r="CX133" s="25"/>
      <c r="CY133" s="25"/>
      <c r="CZ133" s="25"/>
    </row>
    <row r="134" ht="23.25" spans="1:10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10"/>
      <c r="M134" s="10"/>
      <c r="N134" s="18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5"/>
      <c r="Z134" s="15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5"/>
      <c r="AM134" s="15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5"/>
      <c r="AZ134" s="15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15"/>
      <c r="BM134" s="15"/>
      <c r="BN134" s="21"/>
      <c r="BO134" s="14"/>
      <c r="BP134" s="14"/>
      <c r="BQ134" s="14"/>
      <c r="BR134" s="14"/>
      <c r="BS134" s="14"/>
      <c r="BT134" s="14"/>
      <c r="BU134" s="24"/>
      <c r="BV134" s="24"/>
      <c r="BW134" s="24"/>
      <c r="BX134" s="24"/>
      <c r="BY134" s="25"/>
      <c r="BZ134" s="25"/>
      <c r="CA134" s="25"/>
      <c r="CB134" s="25"/>
      <c r="CC134" s="25"/>
      <c r="CD134" s="25"/>
      <c r="CE134" s="25"/>
      <c r="CF134" s="25"/>
      <c r="CG134" s="25"/>
      <c r="CH134" s="25"/>
      <c r="CI134" s="25"/>
      <c r="CJ134" s="25"/>
      <c r="CK134" s="25"/>
      <c r="CL134" s="25"/>
      <c r="CM134" s="25"/>
      <c r="CN134" s="25"/>
      <c r="CO134" s="25"/>
      <c r="CP134" s="25"/>
      <c r="CQ134" s="25"/>
      <c r="CR134" s="25"/>
      <c r="CS134" s="25"/>
      <c r="CT134" s="25"/>
      <c r="CU134" s="25"/>
      <c r="CV134" s="25"/>
      <c r="CW134" s="25"/>
      <c r="CX134" s="25"/>
      <c r="CY134" s="25"/>
      <c r="CZ134" s="25"/>
    </row>
    <row r="135" ht="23.25" spans="1:104">
      <c r="A135" s="8" t="s">
        <v>7</v>
      </c>
      <c r="B135" s="8" t="s">
        <v>8</v>
      </c>
      <c r="C135" s="8" t="s">
        <v>9</v>
      </c>
      <c r="D135" s="8" t="s">
        <v>10</v>
      </c>
      <c r="E135" s="8" t="s">
        <v>11</v>
      </c>
      <c r="F135" s="8" t="s">
        <v>12</v>
      </c>
      <c r="G135" s="8" t="s">
        <v>13</v>
      </c>
      <c r="H135" s="8" t="s">
        <v>14</v>
      </c>
      <c r="I135" s="8" t="s">
        <v>15</v>
      </c>
      <c r="J135" s="8" t="s">
        <v>16</v>
      </c>
      <c r="K135" s="8" t="s">
        <v>17</v>
      </c>
      <c r="L135" s="10"/>
      <c r="M135" s="10"/>
      <c r="N135" s="18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6"/>
      <c r="BB135" s="16"/>
      <c r="BC135" s="16"/>
      <c r="BD135" s="16"/>
      <c r="BE135" s="16"/>
      <c r="BF135" s="16"/>
      <c r="BG135" s="16"/>
      <c r="BH135" s="16"/>
      <c r="BI135" s="16"/>
      <c r="BJ135" s="16"/>
      <c r="BK135" s="16"/>
      <c r="BL135" s="15"/>
      <c r="BM135" s="15"/>
      <c r="BN135" s="21"/>
      <c r="BO135" s="14"/>
      <c r="BP135" s="14"/>
      <c r="BQ135" s="14"/>
      <c r="BR135" s="14"/>
      <c r="BS135" s="14"/>
      <c r="BT135" s="14"/>
      <c r="BU135" s="24"/>
      <c r="BV135" s="24"/>
      <c r="BW135" s="24"/>
      <c r="BX135" s="24"/>
      <c r="BY135" s="25"/>
      <c r="BZ135" s="25"/>
      <c r="CA135" s="25"/>
      <c r="CB135" s="25"/>
      <c r="CC135" s="25"/>
      <c r="CD135" s="25"/>
      <c r="CE135" s="25"/>
      <c r="CF135" s="25"/>
      <c r="CG135" s="25"/>
      <c r="CH135" s="25"/>
      <c r="CI135" s="25"/>
      <c r="CJ135" s="25"/>
      <c r="CK135" s="25"/>
      <c r="CL135" s="25"/>
      <c r="CM135" s="25"/>
      <c r="CN135" s="25"/>
      <c r="CO135" s="25"/>
      <c r="CP135" s="25"/>
      <c r="CQ135" s="25"/>
      <c r="CR135" s="25"/>
      <c r="CS135" s="25"/>
      <c r="CT135" s="25"/>
      <c r="CU135" s="25"/>
      <c r="CV135" s="25"/>
      <c r="CW135" s="25"/>
      <c r="CX135" s="25"/>
      <c r="CY135" s="25"/>
      <c r="CZ135" s="25"/>
    </row>
    <row r="136" spans="1:104">
      <c r="A136" s="8" t="s">
        <v>19</v>
      </c>
      <c r="B136" s="8">
        <v>165</v>
      </c>
      <c r="C136" s="8" t="s">
        <v>19</v>
      </c>
      <c r="D136" s="8">
        <v>340</v>
      </c>
      <c r="E136" s="8" t="s">
        <v>20</v>
      </c>
      <c r="F136" s="8">
        <v>121</v>
      </c>
      <c r="G136" s="8" t="s">
        <v>21</v>
      </c>
      <c r="H136" s="8">
        <v>600</v>
      </c>
      <c r="I136" s="8">
        <v>-0.321477236273905</v>
      </c>
      <c r="J136" s="8">
        <v>-1.10427315442117</v>
      </c>
      <c r="K136" s="8">
        <v>-0.364190451061675</v>
      </c>
      <c r="L136" s="10"/>
      <c r="M136" s="10">
        <f t="shared" ref="M136:M158" si="8">(FLOOR(((SQRT(1+8*F136)-3))/2,0.1)*(FLOOR(((SQRT(1+8*F136)-3))/2,0.1)+1))/2</f>
        <v>105</v>
      </c>
      <c r="N136" s="18">
        <f t="shared" ref="N136:N158" si="9">ABS(B136-M136)</f>
        <v>60</v>
      </c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5"/>
      <c r="AM136" s="15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5"/>
      <c r="AZ136" s="15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  <c r="BK136" s="16"/>
      <c r="BL136" s="15"/>
      <c r="BM136" s="15"/>
      <c r="BN136" s="21"/>
      <c r="BO136" s="15"/>
      <c r="BP136" s="15"/>
      <c r="BQ136" s="15"/>
      <c r="BR136" s="15"/>
      <c r="BS136" s="15"/>
      <c r="BT136" s="15"/>
      <c r="BU136" s="10"/>
      <c r="BV136" s="10"/>
      <c r="BW136" s="10"/>
      <c r="BX136" s="10"/>
      <c r="BY136" s="25"/>
      <c r="BZ136" s="25"/>
      <c r="CA136" s="25"/>
      <c r="CB136" s="25"/>
      <c r="CC136" s="25"/>
      <c r="CD136" s="25"/>
      <c r="CE136" s="25"/>
      <c r="CF136" s="25"/>
      <c r="CG136" s="25"/>
      <c r="CH136" s="25"/>
      <c r="CI136" s="25"/>
      <c r="CJ136" s="25"/>
      <c r="CK136" s="25"/>
      <c r="CL136" s="25"/>
      <c r="CM136" s="25"/>
      <c r="CN136" s="25"/>
      <c r="CO136" s="25"/>
      <c r="CP136" s="25"/>
      <c r="CQ136" s="25"/>
      <c r="CR136" s="25"/>
      <c r="CS136" s="25"/>
      <c r="CT136" s="25"/>
      <c r="CU136" s="25"/>
      <c r="CV136" s="25"/>
      <c r="CW136" s="25"/>
      <c r="CX136" s="25"/>
      <c r="CY136" s="25"/>
      <c r="CZ136" s="25"/>
    </row>
    <row r="137" spans="1:104">
      <c r="A137" s="8" t="s">
        <v>19</v>
      </c>
      <c r="B137" s="8">
        <v>165</v>
      </c>
      <c r="C137" s="8" t="s">
        <v>19</v>
      </c>
      <c r="D137" s="8">
        <v>340</v>
      </c>
      <c r="E137" s="8" t="s">
        <v>20</v>
      </c>
      <c r="F137" s="8">
        <v>144</v>
      </c>
      <c r="G137" s="8" t="s">
        <v>21</v>
      </c>
      <c r="H137" s="8">
        <v>726</v>
      </c>
      <c r="I137" s="8">
        <v>-1.51987180598868</v>
      </c>
      <c r="J137" s="8">
        <v>-1.61304856394731</v>
      </c>
      <c r="K137" s="8">
        <v>-0.686794025072475</v>
      </c>
      <c r="L137" s="10"/>
      <c r="M137" s="10">
        <f t="shared" si="8"/>
        <v>126.28</v>
      </c>
      <c r="N137" s="18">
        <f t="shared" si="9"/>
        <v>38.72</v>
      </c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5"/>
      <c r="AM137" s="15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5"/>
      <c r="AZ137" s="15"/>
      <c r="BA137" s="16"/>
      <c r="BB137" s="16"/>
      <c r="BC137" s="16"/>
      <c r="BD137" s="16"/>
      <c r="BE137" s="16"/>
      <c r="BF137" s="16"/>
      <c r="BG137" s="16"/>
      <c r="BH137" s="16"/>
      <c r="BI137" s="16"/>
      <c r="BJ137" s="16"/>
      <c r="BK137" s="16"/>
      <c r="BL137" s="15"/>
      <c r="BM137" s="15"/>
      <c r="BN137" s="21"/>
      <c r="BO137" s="16"/>
      <c r="BP137" s="16"/>
      <c r="BQ137" s="16"/>
      <c r="BR137" s="16"/>
      <c r="BS137" s="16"/>
      <c r="BT137" s="16"/>
      <c r="BU137" s="8"/>
      <c r="BV137" s="8"/>
      <c r="BW137" s="8"/>
      <c r="BX137" s="8"/>
      <c r="BY137" s="25"/>
      <c r="BZ137" s="25"/>
      <c r="CA137" s="25"/>
      <c r="CB137" s="25"/>
      <c r="CC137" s="25"/>
      <c r="CD137" s="25"/>
      <c r="CE137" s="25"/>
      <c r="CF137" s="25"/>
      <c r="CG137" s="25"/>
      <c r="CH137" s="25"/>
      <c r="CI137" s="25"/>
      <c r="CJ137" s="25"/>
      <c r="CK137" s="25"/>
      <c r="CL137" s="25"/>
      <c r="CM137" s="25"/>
      <c r="CN137" s="25"/>
      <c r="CO137" s="25"/>
      <c r="CP137" s="25"/>
      <c r="CQ137" s="25"/>
      <c r="CR137" s="25"/>
      <c r="CS137" s="25"/>
      <c r="CT137" s="25"/>
      <c r="CU137" s="25"/>
      <c r="CV137" s="25"/>
      <c r="CW137" s="25"/>
      <c r="CX137" s="25"/>
      <c r="CY137" s="25"/>
      <c r="CZ137" s="25"/>
    </row>
    <row r="138" spans="1:104">
      <c r="A138" s="8" t="s">
        <v>19</v>
      </c>
      <c r="B138" s="8">
        <v>165</v>
      </c>
      <c r="C138" s="8" t="s">
        <v>19</v>
      </c>
      <c r="D138" s="8">
        <v>340</v>
      </c>
      <c r="E138" s="8" t="s">
        <v>20</v>
      </c>
      <c r="F138" s="8">
        <v>169</v>
      </c>
      <c r="G138" s="8" t="s">
        <v>21</v>
      </c>
      <c r="H138" s="8">
        <v>864</v>
      </c>
      <c r="I138" s="8">
        <v>-1.98059522094266</v>
      </c>
      <c r="J138" s="8">
        <v>-1.76172958765247</v>
      </c>
      <c r="K138" s="8">
        <v>-0.792524188346963</v>
      </c>
      <c r="L138" s="10"/>
      <c r="M138" s="10">
        <f t="shared" si="8"/>
        <v>149.52</v>
      </c>
      <c r="N138" s="18">
        <f t="shared" si="9"/>
        <v>15.48</v>
      </c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5"/>
      <c r="AM138" s="15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5"/>
      <c r="AZ138" s="15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5"/>
      <c r="BM138" s="15"/>
      <c r="BN138" s="21"/>
      <c r="BO138" s="16"/>
      <c r="BP138" s="16"/>
      <c r="BQ138" s="16"/>
      <c r="BR138" s="16"/>
      <c r="BS138" s="16"/>
      <c r="BT138" s="16"/>
      <c r="BU138" s="8"/>
      <c r="BV138" s="8"/>
      <c r="BW138" s="8"/>
      <c r="BX138" s="8"/>
      <c r="BY138" s="25"/>
      <c r="BZ138" s="25"/>
      <c r="CA138" s="25"/>
      <c r="CB138" s="25"/>
      <c r="CC138" s="25"/>
      <c r="CD138" s="25"/>
      <c r="CE138" s="25"/>
      <c r="CF138" s="25"/>
      <c r="CG138" s="25"/>
      <c r="CH138" s="25"/>
      <c r="CI138" s="25"/>
      <c r="CJ138" s="25"/>
      <c r="CK138" s="25"/>
      <c r="CL138" s="25"/>
      <c r="CM138" s="25"/>
      <c r="CN138" s="25"/>
      <c r="CO138" s="25"/>
      <c r="CP138" s="25"/>
      <c r="CQ138" s="25"/>
      <c r="CR138" s="25"/>
      <c r="CS138" s="25"/>
      <c r="CT138" s="25"/>
      <c r="CU138" s="25"/>
      <c r="CV138" s="25"/>
      <c r="CW138" s="25"/>
      <c r="CX138" s="25"/>
      <c r="CY138" s="25"/>
      <c r="CZ138" s="25"/>
    </row>
    <row r="139" spans="1:104">
      <c r="A139" s="9" t="s">
        <v>19</v>
      </c>
      <c r="B139" s="9">
        <v>165</v>
      </c>
      <c r="C139" s="9" t="s">
        <v>19</v>
      </c>
      <c r="D139" s="9">
        <v>340</v>
      </c>
      <c r="E139" s="9" t="s">
        <v>20</v>
      </c>
      <c r="F139" s="9">
        <v>196</v>
      </c>
      <c r="G139" s="9" t="s">
        <v>21</v>
      </c>
      <c r="H139" s="9">
        <v>1014</v>
      </c>
      <c r="I139" s="9">
        <v>-2.08547479345485</v>
      </c>
      <c r="J139" s="9">
        <v>-1.65502160265844</v>
      </c>
      <c r="K139" s="9">
        <v>-0.515321550078421</v>
      </c>
      <c r="L139" s="11"/>
      <c r="M139" s="11">
        <f t="shared" si="8"/>
        <v>176.595</v>
      </c>
      <c r="N139" s="18">
        <f t="shared" si="9"/>
        <v>11.595</v>
      </c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5"/>
      <c r="AM139" s="15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5"/>
      <c r="AZ139" s="15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2"/>
      <c r="BM139" s="22"/>
      <c r="BN139" s="21"/>
      <c r="BO139" s="16"/>
      <c r="BP139" s="16"/>
      <c r="BQ139" s="16"/>
      <c r="BR139" s="16"/>
      <c r="BS139" s="16"/>
      <c r="BT139" s="16"/>
      <c r="BU139" s="8"/>
      <c r="BV139" s="8"/>
      <c r="BW139" s="8"/>
      <c r="BX139" s="8"/>
      <c r="BY139" s="25"/>
      <c r="BZ139" s="25"/>
      <c r="CA139" s="25"/>
      <c r="CB139" s="25"/>
      <c r="CC139" s="25"/>
      <c r="CD139" s="25"/>
      <c r="CE139" s="25"/>
      <c r="CF139" s="25"/>
      <c r="CG139" s="25"/>
      <c r="CH139" s="25"/>
      <c r="CI139" s="25"/>
      <c r="CJ139" s="25"/>
      <c r="CK139" s="25"/>
      <c r="CL139" s="25"/>
      <c r="CM139" s="25"/>
      <c r="CN139" s="25"/>
      <c r="CO139" s="25"/>
      <c r="CP139" s="25"/>
      <c r="CQ139" s="25"/>
      <c r="CR139" s="25"/>
      <c r="CS139" s="25"/>
      <c r="CT139" s="25"/>
      <c r="CU139" s="25"/>
      <c r="CV139" s="25"/>
      <c r="CW139" s="25"/>
      <c r="CX139" s="25"/>
      <c r="CY139" s="25"/>
      <c r="CZ139" s="25"/>
    </row>
    <row r="140" spans="1:104">
      <c r="A140" s="8" t="s">
        <v>19</v>
      </c>
      <c r="B140" s="8">
        <v>165</v>
      </c>
      <c r="C140" s="8" t="s">
        <v>19</v>
      </c>
      <c r="D140" s="8">
        <v>340</v>
      </c>
      <c r="E140" s="8" t="s">
        <v>20</v>
      </c>
      <c r="F140" s="8">
        <v>225</v>
      </c>
      <c r="G140" s="8" t="s">
        <v>21</v>
      </c>
      <c r="H140" s="8">
        <v>1176</v>
      </c>
      <c r="I140" s="8">
        <v>-1.7216845919363</v>
      </c>
      <c r="J140" s="8">
        <v>-1.39776553492932</v>
      </c>
      <c r="K140" s="8">
        <v>-0.0985049957580276</v>
      </c>
      <c r="L140" s="10"/>
      <c r="M140" s="10">
        <f t="shared" si="8"/>
        <v>203.895</v>
      </c>
      <c r="N140" s="18">
        <f t="shared" si="9"/>
        <v>38.8950000000001</v>
      </c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5"/>
      <c r="AM140" s="15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5"/>
      <c r="AZ140" s="15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  <c r="BK140" s="16"/>
      <c r="BL140" s="15"/>
      <c r="BM140" s="15"/>
      <c r="BN140" s="21"/>
      <c r="BO140" s="16"/>
      <c r="BP140" s="16"/>
      <c r="BQ140" s="16"/>
      <c r="BR140" s="16"/>
      <c r="BS140" s="16"/>
      <c r="BT140" s="16"/>
      <c r="BU140" s="8"/>
      <c r="BV140" s="8"/>
      <c r="BW140" s="8"/>
      <c r="BX140" s="8"/>
      <c r="BY140" s="25"/>
      <c r="BZ140" s="25"/>
      <c r="CA140" s="25"/>
      <c r="CB140" s="25"/>
      <c r="CC140" s="25"/>
      <c r="CD140" s="25"/>
      <c r="CE140" s="25"/>
      <c r="CF140" s="25"/>
      <c r="CG140" s="25"/>
      <c r="CH140" s="25"/>
      <c r="CI140" s="25"/>
      <c r="CJ140" s="25"/>
      <c r="CK140" s="25"/>
      <c r="CL140" s="25"/>
      <c r="CM140" s="25"/>
      <c r="CN140" s="25"/>
      <c r="CO140" s="25"/>
      <c r="CP140" s="25"/>
      <c r="CQ140" s="25"/>
      <c r="CR140" s="25"/>
      <c r="CS140" s="25"/>
      <c r="CT140" s="25"/>
      <c r="CU140" s="25"/>
      <c r="CV140" s="25"/>
      <c r="CW140" s="25"/>
      <c r="CX140" s="25"/>
      <c r="CY140" s="25"/>
      <c r="CZ140" s="25"/>
    </row>
    <row r="141" spans="1:104">
      <c r="A141" s="8" t="s">
        <v>19</v>
      </c>
      <c r="B141" s="8">
        <v>165</v>
      </c>
      <c r="C141" s="8" t="s">
        <v>19</v>
      </c>
      <c r="D141" s="8">
        <v>340</v>
      </c>
      <c r="E141" s="8" t="s">
        <v>20</v>
      </c>
      <c r="F141" s="8">
        <v>256</v>
      </c>
      <c r="G141" s="8" t="s">
        <v>21</v>
      </c>
      <c r="H141" s="8">
        <v>1350</v>
      </c>
      <c r="I141" s="8">
        <v>-1.50032590583915</v>
      </c>
      <c r="J141" s="8">
        <v>-1.27016803555895</v>
      </c>
      <c r="K141" s="8">
        <v>0.115047545562859</v>
      </c>
      <c r="L141" s="10"/>
      <c r="M141" s="10">
        <f t="shared" si="8"/>
        <v>233.155</v>
      </c>
      <c r="N141" s="18">
        <f t="shared" si="9"/>
        <v>68.155</v>
      </c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5"/>
      <c r="AM141" s="15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5"/>
      <c r="AZ141" s="15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  <c r="BK141" s="16"/>
      <c r="BL141" s="15"/>
      <c r="BM141" s="15"/>
      <c r="BN141" s="21"/>
      <c r="BO141" s="16"/>
      <c r="BP141" s="16"/>
      <c r="BQ141" s="16"/>
      <c r="BR141" s="16"/>
      <c r="BS141" s="16"/>
      <c r="BT141" s="16"/>
      <c r="BU141" s="8"/>
      <c r="BV141" s="8"/>
      <c r="BW141" s="8"/>
      <c r="BX141" s="8"/>
      <c r="BY141" s="25"/>
      <c r="BZ141" s="25"/>
      <c r="CA141" s="25"/>
      <c r="CB141" s="25"/>
      <c r="CC141" s="25"/>
      <c r="CD141" s="25"/>
      <c r="CE141" s="25"/>
      <c r="CF141" s="25"/>
      <c r="CG141" s="25"/>
      <c r="CH141" s="25"/>
      <c r="CI141" s="25"/>
      <c r="CJ141" s="25"/>
      <c r="CK141" s="25"/>
      <c r="CL141" s="25"/>
      <c r="CM141" s="25"/>
      <c r="CN141" s="25"/>
      <c r="CO141" s="25"/>
      <c r="CP141" s="25"/>
      <c r="CQ141" s="25"/>
      <c r="CR141" s="25"/>
      <c r="CS141" s="25"/>
      <c r="CT141" s="25"/>
      <c r="CU141" s="25"/>
      <c r="CV141" s="25"/>
      <c r="CW141" s="25"/>
      <c r="CX141" s="25"/>
      <c r="CY141" s="25"/>
      <c r="CZ141" s="25"/>
    </row>
    <row r="142" spans="1:104">
      <c r="A142" s="8" t="s">
        <v>19</v>
      </c>
      <c r="B142" s="8">
        <v>165</v>
      </c>
      <c r="C142" s="8" t="s">
        <v>19</v>
      </c>
      <c r="D142" s="8">
        <v>340</v>
      </c>
      <c r="E142" s="8" t="s">
        <v>20</v>
      </c>
      <c r="F142" s="8">
        <v>289</v>
      </c>
      <c r="G142" s="8" t="s">
        <v>21</v>
      </c>
      <c r="H142" s="8">
        <v>1536</v>
      </c>
      <c r="I142" s="8">
        <v>-1.19405829388054</v>
      </c>
      <c r="J142" s="8">
        <v>-1.05018763224519</v>
      </c>
      <c r="K142" s="8">
        <v>0.401400573598568</v>
      </c>
      <c r="L142" s="10"/>
      <c r="M142" s="10">
        <f t="shared" si="8"/>
        <v>264.375</v>
      </c>
      <c r="N142" s="18">
        <f t="shared" si="9"/>
        <v>99.375</v>
      </c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5"/>
      <c r="AM142" s="15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5"/>
      <c r="AZ142" s="15"/>
      <c r="BA142" s="16"/>
      <c r="BB142" s="16"/>
      <c r="BC142" s="16"/>
      <c r="BD142" s="16"/>
      <c r="BE142" s="16"/>
      <c r="BF142" s="16"/>
      <c r="BG142" s="16"/>
      <c r="BH142" s="16"/>
      <c r="BI142" s="16"/>
      <c r="BJ142" s="16"/>
      <c r="BK142" s="16"/>
      <c r="BL142" s="15"/>
      <c r="BM142" s="15"/>
      <c r="BN142" s="21"/>
      <c r="BO142" s="16"/>
      <c r="BP142" s="16"/>
      <c r="BQ142" s="16"/>
      <c r="BR142" s="16"/>
      <c r="BS142" s="16"/>
      <c r="BT142" s="16"/>
      <c r="BU142" s="8"/>
      <c r="BV142" s="8"/>
      <c r="BW142" s="8"/>
      <c r="BX142" s="8"/>
      <c r="BY142" s="25"/>
      <c r="BZ142" s="25"/>
      <c r="CA142" s="25"/>
      <c r="CB142" s="25"/>
      <c r="CC142" s="25"/>
      <c r="CD142" s="25"/>
      <c r="CE142" s="25"/>
      <c r="CF142" s="25"/>
      <c r="CG142" s="25"/>
      <c r="CH142" s="25"/>
      <c r="CI142" s="25"/>
      <c r="CJ142" s="25"/>
      <c r="CK142" s="25"/>
      <c r="CL142" s="25"/>
      <c r="CM142" s="25"/>
      <c r="CN142" s="25"/>
      <c r="CO142" s="25"/>
      <c r="CP142" s="25"/>
      <c r="CQ142" s="25"/>
      <c r="CR142" s="25"/>
      <c r="CS142" s="25"/>
      <c r="CT142" s="25"/>
      <c r="CU142" s="25"/>
      <c r="CV142" s="25"/>
      <c r="CW142" s="25"/>
      <c r="CX142" s="25"/>
      <c r="CY142" s="25"/>
      <c r="CZ142" s="25"/>
    </row>
    <row r="143" spans="1:104">
      <c r="A143" s="8" t="s">
        <v>19</v>
      </c>
      <c r="B143" s="8">
        <v>165</v>
      </c>
      <c r="C143" s="8" t="s">
        <v>19</v>
      </c>
      <c r="D143" s="8">
        <v>340</v>
      </c>
      <c r="E143" s="8" t="s">
        <v>20</v>
      </c>
      <c r="F143" s="8">
        <v>324</v>
      </c>
      <c r="G143" s="8" t="s">
        <v>21</v>
      </c>
      <c r="H143" s="8">
        <v>1734</v>
      </c>
      <c r="I143" s="8">
        <v>-0.872171600810003</v>
      </c>
      <c r="J143" s="8">
        <v>-0.801666154085005</v>
      </c>
      <c r="K143" s="8">
        <v>0.78869201256919</v>
      </c>
      <c r="L143" s="10"/>
      <c r="M143" s="10">
        <f t="shared" si="8"/>
        <v>297.555</v>
      </c>
      <c r="N143" s="18">
        <f t="shared" si="9"/>
        <v>132.555</v>
      </c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5"/>
      <c r="AM143" s="15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5"/>
      <c r="AZ143" s="15"/>
      <c r="BA143" s="16"/>
      <c r="BB143" s="16"/>
      <c r="BC143" s="16"/>
      <c r="BD143" s="16"/>
      <c r="BE143" s="16"/>
      <c r="BF143" s="16"/>
      <c r="BG143" s="16"/>
      <c r="BH143" s="16"/>
      <c r="BI143" s="16"/>
      <c r="BJ143" s="16"/>
      <c r="BK143" s="16"/>
      <c r="BL143" s="15"/>
      <c r="BM143" s="15"/>
      <c r="BN143" s="21"/>
      <c r="BO143" s="16"/>
      <c r="BP143" s="16"/>
      <c r="BQ143" s="16"/>
      <c r="BR143" s="16"/>
      <c r="BS143" s="16"/>
      <c r="BT143" s="16"/>
      <c r="BU143" s="8"/>
      <c r="BV143" s="8"/>
      <c r="BW143" s="8"/>
      <c r="BX143" s="8"/>
      <c r="BY143" s="25"/>
      <c r="BZ143" s="25"/>
      <c r="CA143" s="25"/>
      <c r="CB143" s="25"/>
      <c r="CC143" s="25"/>
      <c r="CD143" s="25"/>
      <c r="CE143" s="25"/>
      <c r="CF143" s="25"/>
      <c r="CG143" s="25"/>
      <c r="CH143" s="25"/>
      <c r="CI143" s="25"/>
      <c r="CJ143" s="25"/>
      <c r="CK143" s="25"/>
      <c r="CL143" s="25"/>
      <c r="CM143" s="25"/>
      <c r="CN143" s="25"/>
      <c r="CO143" s="25"/>
      <c r="CP143" s="25"/>
      <c r="CQ143" s="25"/>
      <c r="CR143" s="25"/>
      <c r="CS143" s="25"/>
      <c r="CT143" s="25"/>
      <c r="CU143" s="25"/>
      <c r="CV143" s="25"/>
      <c r="CW143" s="25"/>
      <c r="CX143" s="25"/>
      <c r="CY143" s="25"/>
      <c r="CZ143" s="25"/>
    </row>
    <row r="144" spans="1:104">
      <c r="A144" s="8" t="s">
        <v>19</v>
      </c>
      <c r="B144" s="8">
        <v>165</v>
      </c>
      <c r="C144" s="8" t="s">
        <v>19</v>
      </c>
      <c r="D144" s="8">
        <v>340</v>
      </c>
      <c r="E144" s="8" t="s">
        <v>20</v>
      </c>
      <c r="F144" s="8">
        <v>361</v>
      </c>
      <c r="G144" s="8" t="s">
        <v>21</v>
      </c>
      <c r="H144" s="8">
        <v>1944</v>
      </c>
      <c r="I144" s="8">
        <v>-0.441159788913024</v>
      </c>
      <c r="J144" s="8">
        <v>-0.392333933750854</v>
      </c>
      <c r="K144" s="8">
        <v>1.5171589363892</v>
      </c>
      <c r="L144" s="10"/>
      <c r="M144" s="10">
        <f t="shared" si="8"/>
        <v>332.695</v>
      </c>
      <c r="N144" s="18">
        <f t="shared" si="9"/>
        <v>167.695</v>
      </c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5"/>
      <c r="AM144" s="15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5"/>
      <c r="AZ144" s="15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16"/>
      <c r="BL144" s="15"/>
      <c r="BM144" s="15"/>
      <c r="BN144" s="21"/>
      <c r="BO144" s="16"/>
      <c r="BP144" s="16"/>
      <c r="BQ144" s="16"/>
      <c r="BR144" s="16"/>
      <c r="BS144" s="16"/>
      <c r="BT144" s="16"/>
      <c r="BU144" s="8"/>
      <c r="BV144" s="8"/>
      <c r="BW144" s="8"/>
      <c r="BX144" s="8"/>
      <c r="BY144" s="25"/>
      <c r="BZ144" s="25"/>
      <c r="CA144" s="25"/>
      <c r="CB144" s="25"/>
      <c r="CC144" s="25"/>
      <c r="CD144" s="25"/>
      <c r="CE144" s="25"/>
      <c r="CF144" s="25"/>
      <c r="CG144" s="25"/>
      <c r="CH144" s="25"/>
      <c r="CI144" s="25"/>
      <c r="CJ144" s="25"/>
      <c r="CK144" s="25"/>
      <c r="CL144" s="25"/>
      <c r="CM144" s="25"/>
      <c r="CN144" s="25"/>
      <c r="CO144" s="25"/>
      <c r="CP144" s="25"/>
      <c r="CQ144" s="25"/>
      <c r="CR144" s="25"/>
      <c r="CS144" s="25"/>
      <c r="CT144" s="25"/>
      <c r="CU144" s="25"/>
      <c r="CV144" s="25"/>
      <c r="CW144" s="25"/>
      <c r="CX144" s="25"/>
      <c r="CY144" s="25"/>
      <c r="CZ144" s="25"/>
    </row>
    <row r="145" spans="1:104">
      <c r="A145" s="8" t="s">
        <v>19</v>
      </c>
      <c r="B145" s="8">
        <v>165</v>
      </c>
      <c r="C145" s="8" t="s">
        <v>19</v>
      </c>
      <c r="D145" s="8">
        <v>340</v>
      </c>
      <c r="E145" s="8" t="s">
        <v>20</v>
      </c>
      <c r="F145" s="8">
        <v>400</v>
      </c>
      <c r="G145" s="8" t="s">
        <v>21</v>
      </c>
      <c r="H145" s="8">
        <v>2166</v>
      </c>
      <c r="I145" s="8">
        <v>-0.0632804242376344</v>
      </c>
      <c r="J145" s="8">
        <v>-0.0582004331837455</v>
      </c>
      <c r="K145" s="8">
        <v>2.03248529812186</v>
      </c>
      <c r="L145" s="10"/>
      <c r="M145" s="10">
        <f t="shared" si="8"/>
        <v>369.795</v>
      </c>
      <c r="N145" s="18">
        <f t="shared" si="9"/>
        <v>204.795</v>
      </c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5"/>
      <c r="AM145" s="15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5"/>
      <c r="AZ145" s="15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  <c r="BK145" s="16"/>
      <c r="BL145" s="15"/>
      <c r="BM145" s="15"/>
      <c r="BN145" s="21"/>
      <c r="BO145" s="16"/>
      <c r="BP145" s="16"/>
      <c r="BQ145" s="16"/>
      <c r="BR145" s="16"/>
      <c r="BS145" s="16"/>
      <c r="BT145" s="16"/>
      <c r="BU145" s="8"/>
      <c r="BV145" s="8"/>
      <c r="BW145" s="8"/>
      <c r="BX145" s="8"/>
      <c r="BY145" s="25"/>
      <c r="BZ145" s="25"/>
      <c r="CA145" s="25"/>
      <c r="CB145" s="25"/>
      <c r="CC145" s="25"/>
      <c r="CD145" s="25"/>
      <c r="CE145" s="25"/>
      <c r="CF145" s="25"/>
      <c r="CG145" s="25"/>
      <c r="CH145" s="25"/>
      <c r="CI145" s="25"/>
      <c r="CJ145" s="25"/>
      <c r="CK145" s="25"/>
      <c r="CL145" s="25"/>
      <c r="CM145" s="25"/>
      <c r="CN145" s="25"/>
      <c r="CO145" s="25"/>
      <c r="CP145" s="25"/>
      <c r="CQ145" s="25"/>
      <c r="CR145" s="25"/>
      <c r="CS145" s="25"/>
      <c r="CT145" s="25"/>
      <c r="CU145" s="25"/>
      <c r="CV145" s="25"/>
      <c r="CW145" s="25"/>
      <c r="CX145" s="25"/>
      <c r="CY145" s="25"/>
      <c r="CZ145" s="25"/>
    </row>
    <row r="146" spans="1:104">
      <c r="A146" s="8" t="s">
        <v>19</v>
      </c>
      <c r="B146" s="8">
        <v>165</v>
      </c>
      <c r="C146" s="8" t="s">
        <v>19</v>
      </c>
      <c r="D146" s="8">
        <v>340</v>
      </c>
      <c r="E146" s="8" t="s">
        <v>20</v>
      </c>
      <c r="F146" s="8">
        <v>441</v>
      </c>
      <c r="G146" s="8" t="s">
        <v>21</v>
      </c>
      <c r="H146" s="8">
        <v>2400</v>
      </c>
      <c r="I146" s="8">
        <v>5.42932793542901e-6</v>
      </c>
      <c r="J146" s="8">
        <v>-4.72555803054246e-6</v>
      </c>
      <c r="K146" s="8">
        <v>2.07430867911255</v>
      </c>
      <c r="L146" s="10"/>
      <c r="M146" s="10">
        <f t="shared" si="8"/>
        <v>411.72</v>
      </c>
      <c r="N146" s="18">
        <f t="shared" si="9"/>
        <v>246.72</v>
      </c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5"/>
      <c r="AM146" s="15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5"/>
      <c r="AZ146" s="15"/>
      <c r="BA146" s="16"/>
      <c r="BB146" s="16"/>
      <c r="BC146" s="16"/>
      <c r="BD146" s="16"/>
      <c r="BE146" s="16"/>
      <c r="BF146" s="16"/>
      <c r="BG146" s="16"/>
      <c r="BH146" s="16"/>
      <c r="BI146" s="16"/>
      <c r="BJ146" s="16"/>
      <c r="BK146" s="16"/>
      <c r="BL146" s="15"/>
      <c r="BM146" s="15"/>
      <c r="BN146" s="21"/>
      <c r="BO146" s="16"/>
      <c r="BP146" s="16"/>
      <c r="BQ146" s="16"/>
      <c r="BR146" s="16"/>
      <c r="BS146" s="16"/>
      <c r="BT146" s="16"/>
      <c r="BU146" s="8"/>
      <c r="BV146" s="8"/>
      <c r="BW146" s="8"/>
      <c r="BX146" s="8"/>
      <c r="BY146" s="25"/>
      <c r="BZ146" s="25"/>
      <c r="CA146" s="25"/>
      <c r="CB146" s="25"/>
      <c r="CC146" s="25"/>
      <c r="CD146" s="25"/>
      <c r="CE146" s="25"/>
      <c r="CF146" s="25"/>
      <c r="CG146" s="25"/>
      <c r="CH146" s="25"/>
      <c r="CI146" s="25"/>
      <c r="CJ146" s="25"/>
      <c r="CK146" s="25"/>
      <c r="CL146" s="25"/>
      <c r="CM146" s="25"/>
      <c r="CN146" s="25"/>
      <c r="CO146" s="25"/>
      <c r="CP146" s="25"/>
      <c r="CQ146" s="25"/>
      <c r="CR146" s="25"/>
      <c r="CS146" s="25"/>
      <c r="CT146" s="25"/>
      <c r="CU146" s="25"/>
      <c r="CV146" s="25"/>
      <c r="CW146" s="25"/>
      <c r="CX146" s="25"/>
      <c r="CY146" s="25"/>
      <c r="CZ146" s="25"/>
    </row>
    <row r="147" spans="1:104">
      <c r="A147" s="8" t="s">
        <v>19</v>
      </c>
      <c r="B147" s="8">
        <v>165</v>
      </c>
      <c r="C147" s="8" t="s">
        <v>19</v>
      </c>
      <c r="D147" s="8">
        <v>340</v>
      </c>
      <c r="E147" s="8" t="s">
        <v>20</v>
      </c>
      <c r="F147" s="8">
        <v>484</v>
      </c>
      <c r="G147" s="8" t="s">
        <v>21</v>
      </c>
      <c r="H147" s="8">
        <v>2646</v>
      </c>
      <c r="I147" s="8">
        <v>-2.47200236070138e-6</v>
      </c>
      <c r="J147" s="8">
        <v>-3.57111473392395e-6</v>
      </c>
      <c r="K147" s="8">
        <v>1.80665869358042</v>
      </c>
      <c r="L147" s="10"/>
      <c r="M147" s="10">
        <f t="shared" si="8"/>
        <v>452.88</v>
      </c>
      <c r="N147" s="18">
        <f t="shared" si="9"/>
        <v>287.88</v>
      </c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5"/>
      <c r="AM147" s="15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5"/>
      <c r="AZ147" s="15"/>
      <c r="BA147" s="16"/>
      <c r="BB147" s="16"/>
      <c r="BC147" s="16"/>
      <c r="BD147" s="16"/>
      <c r="BE147" s="16"/>
      <c r="BF147" s="16"/>
      <c r="BG147" s="16"/>
      <c r="BH147" s="16"/>
      <c r="BI147" s="16"/>
      <c r="BJ147" s="16"/>
      <c r="BK147" s="16"/>
      <c r="BL147" s="15"/>
      <c r="BM147" s="15"/>
      <c r="BN147" s="21"/>
      <c r="BO147" s="16"/>
      <c r="BP147" s="16"/>
      <c r="BQ147" s="16"/>
      <c r="BR147" s="16"/>
      <c r="BS147" s="16"/>
      <c r="BT147" s="16"/>
      <c r="BU147" s="8"/>
      <c r="BV147" s="8"/>
      <c r="BW147" s="8"/>
      <c r="BX147" s="8"/>
      <c r="BY147" s="25"/>
      <c r="BZ147" s="25"/>
      <c r="CA147" s="25"/>
      <c r="CB147" s="25"/>
      <c r="CC147" s="25"/>
      <c r="CD147" s="25"/>
      <c r="CE147" s="25"/>
      <c r="CF147" s="25"/>
      <c r="CG147" s="25"/>
      <c r="CH147" s="25"/>
      <c r="CI147" s="25"/>
      <c r="CJ147" s="25"/>
      <c r="CK147" s="25"/>
      <c r="CL147" s="25"/>
      <c r="CM147" s="25"/>
      <c r="CN147" s="25"/>
      <c r="CO147" s="25"/>
      <c r="CP147" s="25"/>
      <c r="CQ147" s="25"/>
      <c r="CR147" s="25"/>
      <c r="CS147" s="25"/>
      <c r="CT147" s="25"/>
      <c r="CU147" s="25"/>
      <c r="CV147" s="25"/>
      <c r="CW147" s="25"/>
      <c r="CX147" s="25"/>
      <c r="CY147" s="25"/>
      <c r="CZ147" s="25"/>
    </row>
    <row r="148" spans="1:104">
      <c r="A148" s="8" t="s">
        <v>19</v>
      </c>
      <c r="B148" s="8">
        <v>165</v>
      </c>
      <c r="C148" s="8" t="s">
        <v>19</v>
      </c>
      <c r="D148" s="8">
        <v>340</v>
      </c>
      <c r="E148" s="8" t="s">
        <v>20</v>
      </c>
      <c r="F148" s="8">
        <v>529</v>
      </c>
      <c r="G148" s="8" t="s">
        <v>21</v>
      </c>
      <c r="H148" s="8">
        <v>2904</v>
      </c>
      <c r="I148" s="8">
        <v>-7.26647136689828e-7</v>
      </c>
      <c r="J148" s="8">
        <v>-1.21336240177951e-6</v>
      </c>
      <c r="K148" s="8">
        <v>1.58760037107038</v>
      </c>
      <c r="L148" s="10"/>
      <c r="M148" s="10">
        <f t="shared" si="8"/>
        <v>496</v>
      </c>
      <c r="N148" s="18">
        <f t="shared" si="9"/>
        <v>331</v>
      </c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5"/>
      <c r="AM148" s="15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5"/>
      <c r="AZ148" s="15"/>
      <c r="BA148" s="16"/>
      <c r="BB148" s="16"/>
      <c r="BC148" s="16"/>
      <c r="BD148" s="16"/>
      <c r="BE148" s="16"/>
      <c r="BF148" s="16"/>
      <c r="BG148" s="16"/>
      <c r="BH148" s="16"/>
      <c r="BI148" s="16"/>
      <c r="BJ148" s="16"/>
      <c r="BK148" s="16"/>
      <c r="BL148" s="15"/>
      <c r="BM148" s="15"/>
      <c r="BN148" s="21"/>
      <c r="BO148" s="16"/>
      <c r="BP148" s="16"/>
      <c r="BQ148" s="16"/>
      <c r="BR148" s="16"/>
      <c r="BS148" s="16"/>
      <c r="BT148" s="16"/>
      <c r="BU148" s="8"/>
      <c r="BV148" s="8"/>
      <c r="BW148" s="8"/>
      <c r="BX148" s="8"/>
      <c r="BY148" s="25"/>
      <c r="BZ148" s="25"/>
      <c r="CA148" s="25"/>
      <c r="CB148" s="25"/>
      <c r="CC148" s="25"/>
      <c r="CD148" s="25"/>
      <c r="CE148" s="25"/>
      <c r="CF148" s="25"/>
      <c r="CG148" s="25"/>
      <c r="CH148" s="25"/>
      <c r="CI148" s="25"/>
      <c r="CJ148" s="25"/>
      <c r="CK148" s="25"/>
      <c r="CL148" s="25"/>
      <c r="CM148" s="25"/>
      <c r="CN148" s="25"/>
      <c r="CO148" s="25"/>
      <c r="CP148" s="25"/>
      <c r="CQ148" s="25"/>
      <c r="CR148" s="25"/>
      <c r="CS148" s="25"/>
      <c r="CT148" s="25"/>
      <c r="CU148" s="25"/>
      <c r="CV148" s="25"/>
      <c r="CW148" s="25"/>
      <c r="CX148" s="25"/>
      <c r="CY148" s="25"/>
      <c r="CZ148" s="25"/>
    </row>
    <row r="149" spans="1:104">
      <c r="A149" s="8" t="s">
        <v>19</v>
      </c>
      <c r="B149" s="8">
        <v>165</v>
      </c>
      <c r="C149" s="8" t="s">
        <v>19</v>
      </c>
      <c r="D149" s="8">
        <v>340</v>
      </c>
      <c r="E149" s="8" t="s">
        <v>20</v>
      </c>
      <c r="F149" s="8">
        <v>576</v>
      </c>
      <c r="G149" s="8" t="s">
        <v>21</v>
      </c>
      <c r="H149" s="8">
        <v>3174</v>
      </c>
      <c r="I149" s="8">
        <v>-8.4348011051204e-7</v>
      </c>
      <c r="J149" s="8">
        <v>-1.07402153740879e-6</v>
      </c>
      <c r="K149" s="8">
        <v>1.5263120185637</v>
      </c>
      <c r="L149" s="10"/>
      <c r="M149" s="10">
        <f t="shared" si="8"/>
        <v>541.08</v>
      </c>
      <c r="N149" s="18">
        <f t="shared" si="9"/>
        <v>376.08</v>
      </c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5"/>
      <c r="AM149" s="15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5"/>
      <c r="AZ149" s="15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/>
      <c r="BK149" s="16"/>
      <c r="BL149" s="15"/>
      <c r="BM149" s="15"/>
      <c r="BN149" s="21"/>
      <c r="BO149" s="16"/>
      <c r="BP149" s="16"/>
      <c r="BQ149" s="16"/>
      <c r="BR149" s="16"/>
      <c r="BS149" s="16"/>
      <c r="BT149" s="16"/>
      <c r="BU149" s="8"/>
      <c r="BV149" s="8"/>
      <c r="BW149" s="8"/>
      <c r="BX149" s="8"/>
      <c r="BY149" s="25"/>
      <c r="BZ149" s="25"/>
      <c r="CA149" s="25"/>
      <c r="CB149" s="25"/>
      <c r="CC149" s="25"/>
      <c r="CD149" s="25"/>
      <c r="CE149" s="25"/>
      <c r="CF149" s="25"/>
      <c r="CG149" s="25"/>
      <c r="CH149" s="25"/>
      <c r="CI149" s="25"/>
      <c r="CJ149" s="25"/>
      <c r="CK149" s="25"/>
      <c r="CL149" s="25"/>
      <c r="CM149" s="25"/>
      <c r="CN149" s="25"/>
      <c r="CO149" s="25"/>
      <c r="CP149" s="25"/>
      <c r="CQ149" s="25"/>
      <c r="CR149" s="25"/>
      <c r="CS149" s="25"/>
      <c r="CT149" s="25"/>
      <c r="CU149" s="25"/>
      <c r="CV149" s="25"/>
      <c r="CW149" s="25"/>
      <c r="CX149" s="25"/>
      <c r="CY149" s="25"/>
      <c r="CZ149" s="25"/>
    </row>
    <row r="150" spans="1:104">
      <c r="A150" s="8" t="s">
        <v>19</v>
      </c>
      <c r="B150" s="8">
        <v>165</v>
      </c>
      <c r="C150" s="8" t="s">
        <v>19</v>
      </c>
      <c r="D150" s="8">
        <v>340</v>
      </c>
      <c r="E150" s="8" t="s">
        <v>20</v>
      </c>
      <c r="F150" s="8">
        <v>625</v>
      </c>
      <c r="G150" s="8" t="s">
        <v>21</v>
      </c>
      <c r="H150" s="8">
        <v>3456</v>
      </c>
      <c r="I150" s="8">
        <v>-6.64343892257885e-7</v>
      </c>
      <c r="J150" s="8">
        <v>-8.2659769290042e-7</v>
      </c>
      <c r="K150" s="8">
        <v>1.46618397982844</v>
      </c>
      <c r="L150" s="10"/>
      <c r="M150" s="10">
        <f t="shared" si="8"/>
        <v>588.12</v>
      </c>
      <c r="N150" s="18">
        <f t="shared" si="9"/>
        <v>423.12</v>
      </c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5"/>
      <c r="AM150" s="15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5"/>
      <c r="AZ150" s="15"/>
      <c r="BA150" s="16"/>
      <c r="BB150" s="16"/>
      <c r="BC150" s="16"/>
      <c r="BD150" s="16"/>
      <c r="BE150" s="16"/>
      <c r="BF150" s="16"/>
      <c r="BG150" s="16"/>
      <c r="BH150" s="16"/>
      <c r="BI150" s="16"/>
      <c r="BJ150" s="16"/>
      <c r="BK150" s="16"/>
      <c r="BL150" s="15"/>
      <c r="BM150" s="15"/>
      <c r="BN150" s="21"/>
      <c r="BO150" s="16"/>
      <c r="BP150" s="16"/>
      <c r="BQ150" s="16"/>
      <c r="BR150" s="16"/>
      <c r="BS150" s="16"/>
      <c r="BT150" s="16"/>
      <c r="BU150" s="8"/>
      <c r="BV150" s="8"/>
      <c r="BW150" s="8"/>
      <c r="BX150" s="8"/>
      <c r="BY150" s="25"/>
      <c r="BZ150" s="25"/>
      <c r="CA150" s="25"/>
      <c r="CB150" s="25"/>
      <c r="CC150" s="25"/>
      <c r="CD150" s="25"/>
      <c r="CE150" s="25"/>
      <c r="CF150" s="25"/>
      <c r="CG150" s="25"/>
      <c r="CH150" s="25"/>
      <c r="CI150" s="25"/>
      <c r="CJ150" s="25"/>
      <c r="CK150" s="25"/>
      <c r="CL150" s="25"/>
      <c r="CM150" s="25"/>
      <c r="CN150" s="25"/>
      <c r="CO150" s="25"/>
      <c r="CP150" s="25"/>
      <c r="CQ150" s="25"/>
      <c r="CR150" s="25"/>
      <c r="CS150" s="25"/>
      <c r="CT150" s="25"/>
      <c r="CU150" s="25"/>
      <c r="CV150" s="25"/>
      <c r="CW150" s="25"/>
      <c r="CX150" s="25"/>
      <c r="CY150" s="25"/>
      <c r="CZ150" s="25"/>
    </row>
    <row r="151" spans="1:104">
      <c r="A151" s="8" t="s">
        <v>19</v>
      </c>
      <c r="B151" s="8">
        <v>165</v>
      </c>
      <c r="C151" s="8" t="s">
        <v>19</v>
      </c>
      <c r="D151" s="8">
        <v>340</v>
      </c>
      <c r="E151" s="8" t="s">
        <v>20</v>
      </c>
      <c r="F151" s="8">
        <v>676</v>
      </c>
      <c r="G151" s="8" t="s">
        <v>21</v>
      </c>
      <c r="H151" s="8">
        <v>3750</v>
      </c>
      <c r="I151" s="8">
        <v>-5.6838550394879e-7</v>
      </c>
      <c r="J151" s="8">
        <v>-6.772647607695e-7</v>
      </c>
      <c r="K151" s="8">
        <v>1.41221358077403</v>
      </c>
      <c r="L151" s="10"/>
      <c r="M151" s="10">
        <f t="shared" si="8"/>
        <v>637.12</v>
      </c>
      <c r="N151" s="18">
        <f t="shared" si="9"/>
        <v>472.12</v>
      </c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5"/>
      <c r="AM151" s="15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5"/>
      <c r="AZ151" s="15"/>
      <c r="BA151" s="16"/>
      <c r="BB151" s="16"/>
      <c r="BC151" s="16"/>
      <c r="BD151" s="16"/>
      <c r="BE151" s="16"/>
      <c r="BF151" s="16"/>
      <c r="BG151" s="16"/>
      <c r="BH151" s="16"/>
      <c r="BI151" s="16"/>
      <c r="BJ151" s="16"/>
      <c r="BK151" s="16"/>
      <c r="BL151" s="15"/>
      <c r="BM151" s="15"/>
      <c r="BN151" s="21"/>
      <c r="BO151" s="16"/>
      <c r="BP151" s="16"/>
      <c r="BQ151" s="16"/>
      <c r="BR151" s="16"/>
      <c r="BS151" s="16"/>
      <c r="BT151" s="16"/>
      <c r="BU151" s="8"/>
      <c r="BV151" s="8"/>
      <c r="BW151" s="8"/>
      <c r="BX151" s="8"/>
      <c r="BY151" s="25"/>
      <c r="BZ151" s="25"/>
      <c r="CA151" s="25"/>
      <c r="CB151" s="25"/>
      <c r="CC151" s="25"/>
      <c r="CD151" s="25"/>
      <c r="CE151" s="25"/>
      <c r="CF151" s="25"/>
      <c r="CG151" s="25"/>
      <c r="CH151" s="25"/>
      <c r="CI151" s="25"/>
      <c r="CJ151" s="25"/>
      <c r="CK151" s="25"/>
      <c r="CL151" s="25"/>
      <c r="CM151" s="25"/>
      <c r="CN151" s="25"/>
      <c r="CO151" s="25"/>
      <c r="CP151" s="25"/>
      <c r="CQ151" s="25"/>
      <c r="CR151" s="25"/>
      <c r="CS151" s="25"/>
      <c r="CT151" s="25"/>
      <c r="CU151" s="25"/>
      <c r="CV151" s="25"/>
      <c r="CW151" s="25"/>
      <c r="CX151" s="25"/>
      <c r="CY151" s="25"/>
      <c r="CZ151" s="25"/>
    </row>
    <row r="152" spans="1:104">
      <c r="A152" s="8" t="s">
        <v>19</v>
      </c>
      <c r="B152" s="8">
        <v>165</v>
      </c>
      <c r="C152" s="8" t="s">
        <v>19</v>
      </c>
      <c r="D152" s="8">
        <v>340</v>
      </c>
      <c r="E152" s="8" t="s">
        <v>20</v>
      </c>
      <c r="F152" s="8">
        <v>729</v>
      </c>
      <c r="G152" s="8" t="s">
        <v>21</v>
      </c>
      <c r="H152" s="8">
        <v>4056</v>
      </c>
      <c r="I152" s="8">
        <v>-4.6198135020586e-7</v>
      </c>
      <c r="J152" s="8">
        <v>-5.76851048348037e-7</v>
      </c>
      <c r="K152" s="8">
        <v>1.38578945108117</v>
      </c>
      <c r="L152" s="10"/>
      <c r="M152" s="10">
        <f t="shared" si="8"/>
        <v>688.08</v>
      </c>
      <c r="N152" s="18">
        <f t="shared" si="9"/>
        <v>523.08</v>
      </c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5"/>
      <c r="AM152" s="15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5"/>
      <c r="AZ152" s="15"/>
      <c r="BA152" s="16"/>
      <c r="BB152" s="16"/>
      <c r="BC152" s="16"/>
      <c r="BD152" s="16"/>
      <c r="BE152" s="16"/>
      <c r="BF152" s="16"/>
      <c r="BG152" s="16"/>
      <c r="BH152" s="16"/>
      <c r="BI152" s="16"/>
      <c r="BJ152" s="16"/>
      <c r="BK152" s="16"/>
      <c r="BL152" s="15"/>
      <c r="BM152" s="15"/>
      <c r="BN152" s="21"/>
      <c r="BO152" s="16"/>
      <c r="BP152" s="16"/>
      <c r="BQ152" s="16"/>
      <c r="BR152" s="16"/>
      <c r="BS152" s="16"/>
      <c r="BT152" s="16"/>
      <c r="BU152" s="8"/>
      <c r="BV152" s="8"/>
      <c r="BW152" s="8"/>
      <c r="BX152" s="8"/>
      <c r="BY152" s="25"/>
      <c r="BZ152" s="25"/>
      <c r="CA152" s="25"/>
      <c r="CB152" s="25"/>
      <c r="CC152" s="25"/>
      <c r="CD152" s="25"/>
      <c r="CE152" s="25"/>
      <c r="CF152" s="25"/>
      <c r="CG152" s="25"/>
      <c r="CH152" s="25"/>
      <c r="CI152" s="25"/>
      <c r="CJ152" s="25"/>
      <c r="CK152" s="25"/>
      <c r="CL152" s="25"/>
      <c r="CM152" s="25"/>
      <c r="CN152" s="25"/>
      <c r="CO152" s="25"/>
      <c r="CP152" s="25"/>
      <c r="CQ152" s="25"/>
      <c r="CR152" s="25"/>
      <c r="CS152" s="25"/>
      <c r="CT152" s="25"/>
      <c r="CU152" s="25"/>
      <c r="CV152" s="25"/>
      <c r="CW152" s="25"/>
      <c r="CX152" s="25"/>
      <c r="CY152" s="25"/>
      <c r="CZ152" s="25"/>
    </row>
    <row r="153" spans="1:104">
      <c r="A153" s="8" t="s">
        <v>19</v>
      </c>
      <c r="B153" s="8">
        <v>165</v>
      </c>
      <c r="C153" s="8" t="s">
        <v>19</v>
      </c>
      <c r="D153" s="8">
        <v>340</v>
      </c>
      <c r="E153" s="8" t="s">
        <v>20</v>
      </c>
      <c r="F153" s="8">
        <v>784</v>
      </c>
      <c r="G153" s="8" t="s">
        <v>21</v>
      </c>
      <c r="H153" s="8">
        <v>4374</v>
      </c>
      <c r="I153" s="8">
        <v>-4.41727312436835e-7</v>
      </c>
      <c r="J153" s="8">
        <v>-5.414983463792e-7</v>
      </c>
      <c r="K153" s="8">
        <v>1.36691565595286</v>
      </c>
      <c r="L153" s="10"/>
      <c r="M153" s="10">
        <f t="shared" si="8"/>
        <v>744.855</v>
      </c>
      <c r="N153" s="18">
        <f t="shared" si="9"/>
        <v>579.855</v>
      </c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5"/>
      <c r="AM153" s="15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5"/>
      <c r="AZ153" s="15"/>
      <c r="BA153" s="16"/>
      <c r="BB153" s="16"/>
      <c r="BC153" s="16"/>
      <c r="BD153" s="16"/>
      <c r="BE153" s="16"/>
      <c r="BF153" s="16"/>
      <c r="BG153" s="16"/>
      <c r="BH153" s="16"/>
      <c r="BI153" s="16"/>
      <c r="BJ153" s="16"/>
      <c r="BK153" s="16"/>
      <c r="BL153" s="15"/>
      <c r="BM153" s="15"/>
      <c r="BN153" s="21"/>
      <c r="BO153" s="16"/>
      <c r="BP153" s="16"/>
      <c r="BQ153" s="16"/>
      <c r="BR153" s="16"/>
      <c r="BS153" s="16"/>
      <c r="BT153" s="16"/>
      <c r="BU153" s="8"/>
      <c r="BV153" s="8"/>
      <c r="BW153" s="8"/>
      <c r="BX153" s="8"/>
      <c r="BY153" s="25"/>
      <c r="BZ153" s="25"/>
      <c r="CA153" s="25"/>
      <c r="CB153" s="25"/>
      <c r="CC153" s="25"/>
      <c r="CD153" s="25"/>
      <c r="CE153" s="25"/>
      <c r="CF153" s="25"/>
      <c r="CG153" s="25"/>
      <c r="CH153" s="25"/>
      <c r="CI153" s="25"/>
      <c r="CJ153" s="25"/>
      <c r="CK153" s="25"/>
      <c r="CL153" s="25"/>
      <c r="CM153" s="25"/>
      <c r="CN153" s="25"/>
      <c r="CO153" s="25"/>
      <c r="CP153" s="25"/>
      <c r="CQ153" s="25"/>
      <c r="CR153" s="25"/>
      <c r="CS153" s="25"/>
      <c r="CT153" s="25"/>
      <c r="CU153" s="25"/>
      <c r="CV153" s="25"/>
      <c r="CW153" s="25"/>
      <c r="CX153" s="25"/>
      <c r="CY153" s="25"/>
      <c r="CZ153" s="25"/>
    </row>
    <row r="154" spans="1:104">
      <c r="A154" s="8" t="s">
        <v>19</v>
      </c>
      <c r="B154" s="8">
        <v>165</v>
      </c>
      <c r="C154" s="8" t="s">
        <v>19</v>
      </c>
      <c r="D154" s="8">
        <v>340</v>
      </c>
      <c r="E154" s="8" t="s">
        <v>20</v>
      </c>
      <c r="F154" s="8">
        <v>841</v>
      </c>
      <c r="G154" s="8" t="s">
        <v>21</v>
      </c>
      <c r="H154" s="8">
        <v>4704</v>
      </c>
      <c r="I154" s="8">
        <v>-4.08613221738379e-7</v>
      </c>
      <c r="J154" s="8">
        <v>-5.06620616390508e-7</v>
      </c>
      <c r="K154" s="8">
        <v>1.35458110825082</v>
      </c>
      <c r="L154" s="10"/>
      <c r="M154" s="10">
        <f t="shared" si="8"/>
        <v>799.875</v>
      </c>
      <c r="N154" s="18">
        <f t="shared" si="9"/>
        <v>634.875</v>
      </c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5"/>
      <c r="AM154" s="15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5"/>
      <c r="AZ154" s="15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5"/>
      <c r="BM154" s="15"/>
      <c r="BN154" s="21"/>
      <c r="BO154" s="16"/>
      <c r="BP154" s="16"/>
      <c r="BQ154" s="16"/>
      <c r="BR154" s="16"/>
      <c r="BS154" s="16"/>
      <c r="BT154" s="16"/>
      <c r="BU154" s="8"/>
      <c r="BV154" s="8"/>
      <c r="BW154" s="8"/>
      <c r="BX154" s="8"/>
      <c r="BY154" s="25"/>
      <c r="BZ154" s="25"/>
      <c r="CA154" s="25"/>
      <c r="CB154" s="25"/>
      <c r="CC154" s="25"/>
      <c r="CD154" s="25"/>
      <c r="CE154" s="25"/>
      <c r="CF154" s="25"/>
      <c r="CG154" s="25"/>
      <c r="CH154" s="25"/>
      <c r="CI154" s="25"/>
      <c r="CJ154" s="25"/>
      <c r="CK154" s="25"/>
      <c r="CL154" s="25"/>
      <c r="CM154" s="25"/>
      <c r="CN154" s="25"/>
      <c r="CO154" s="25"/>
      <c r="CP154" s="25"/>
      <c r="CQ154" s="25"/>
      <c r="CR154" s="25"/>
      <c r="CS154" s="25"/>
      <c r="CT154" s="25"/>
      <c r="CU154" s="25"/>
      <c r="CV154" s="25"/>
      <c r="CW154" s="25"/>
      <c r="CX154" s="25"/>
      <c r="CY154" s="25"/>
      <c r="CZ154" s="25"/>
    </row>
    <row r="155" spans="1:104">
      <c r="A155" s="8" t="s">
        <v>19</v>
      </c>
      <c r="B155" s="8">
        <v>165</v>
      </c>
      <c r="C155" s="8" t="s">
        <v>19</v>
      </c>
      <c r="D155" s="8">
        <v>340</v>
      </c>
      <c r="E155" s="8" t="s">
        <v>20</v>
      </c>
      <c r="F155" s="8">
        <v>900</v>
      </c>
      <c r="G155" s="8" t="s">
        <v>21</v>
      </c>
      <c r="H155" s="8">
        <v>5046</v>
      </c>
      <c r="I155" s="8">
        <v>-3.85973278534603e-7</v>
      </c>
      <c r="J155" s="8">
        <v>-4.8456993467832e-7</v>
      </c>
      <c r="K155" s="8">
        <v>1.3465960413079</v>
      </c>
      <c r="L155" s="10"/>
      <c r="M155" s="10">
        <f t="shared" si="8"/>
        <v>856.855</v>
      </c>
      <c r="N155" s="18">
        <f t="shared" si="9"/>
        <v>691.855</v>
      </c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5"/>
      <c r="AM155" s="15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5"/>
      <c r="AZ155" s="15"/>
      <c r="BA155" s="16"/>
      <c r="BB155" s="16"/>
      <c r="BC155" s="16"/>
      <c r="BD155" s="16"/>
      <c r="BE155" s="16"/>
      <c r="BF155" s="16"/>
      <c r="BG155" s="16"/>
      <c r="BH155" s="16"/>
      <c r="BI155" s="16"/>
      <c r="BJ155" s="16"/>
      <c r="BK155" s="16"/>
      <c r="BL155" s="15"/>
      <c r="BM155" s="15"/>
      <c r="BN155" s="21"/>
      <c r="BO155" s="16"/>
      <c r="BP155" s="16"/>
      <c r="BQ155" s="16"/>
      <c r="BR155" s="16"/>
      <c r="BS155" s="16"/>
      <c r="BT155" s="16"/>
      <c r="BU155" s="8"/>
      <c r="BV155" s="8"/>
      <c r="BW155" s="8"/>
      <c r="BX155" s="8"/>
      <c r="BY155" s="25"/>
      <c r="BZ155" s="25"/>
      <c r="CA155" s="25"/>
      <c r="CB155" s="25"/>
      <c r="CC155" s="25"/>
      <c r="CD155" s="25"/>
      <c r="CE155" s="25"/>
      <c r="CF155" s="25"/>
      <c r="CG155" s="25"/>
      <c r="CH155" s="25"/>
      <c r="CI155" s="25"/>
      <c r="CJ155" s="25"/>
      <c r="CK155" s="25"/>
      <c r="CL155" s="25"/>
      <c r="CM155" s="25"/>
      <c r="CN155" s="25"/>
      <c r="CO155" s="25"/>
      <c r="CP155" s="25"/>
      <c r="CQ155" s="25"/>
      <c r="CR155" s="25"/>
      <c r="CS155" s="25"/>
      <c r="CT155" s="25"/>
      <c r="CU155" s="25"/>
      <c r="CV155" s="25"/>
      <c r="CW155" s="25"/>
      <c r="CX155" s="25"/>
      <c r="CY155" s="25"/>
      <c r="CZ155" s="25"/>
    </row>
    <row r="156" spans="1:104">
      <c r="A156" s="8" t="s">
        <v>19</v>
      </c>
      <c r="B156" s="8">
        <v>165</v>
      </c>
      <c r="C156" s="8" t="s">
        <v>19</v>
      </c>
      <c r="D156" s="8">
        <v>340</v>
      </c>
      <c r="E156" s="8" t="s">
        <v>20</v>
      </c>
      <c r="F156" s="8">
        <v>961</v>
      </c>
      <c r="G156" s="8" t="s">
        <v>21</v>
      </c>
      <c r="H156" s="8">
        <v>5400</v>
      </c>
      <c r="I156" s="8">
        <v>-3.75463715811426e-7</v>
      </c>
      <c r="J156" s="8">
        <v>-4.60620428556501e-7</v>
      </c>
      <c r="K156" s="8">
        <v>1.33202338344624</v>
      </c>
      <c r="L156" s="10"/>
      <c r="M156" s="10">
        <f t="shared" si="8"/>
        <v>915.795</v>
      </c>
      <c r="N156" s="18">
        <f t="shared" si="9"/>
        <v>750.795</v>
      </c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5"/>
      <c r="AM156" s="15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5"/>
      <c r="AZ156" s="15"/>
      <c r="BA156" s="16"/>
      <c r="BB156" s="16"/>
      <c r="BC156" s="16"/>
      <c r="BD156" s="16"/>
      <c r="BE156" s="16"/>
      <c r="BF156" s="16"/>
      <c r="BG156" s="16"/>
      <c r="BH156" s="16"/>
      <c r="BI156" s="16"/>
      <c r="BJ156" s="16"/>
      <c r="BK156" s="16"/>
      <c r="BL156" s="15"/>
      <c r="BM156" s="15"/>
      <c r="BN156" s="21"/>
      <c r="BO156" s="16"/>
      <c r="BP156" s="16"/>
      <c r="BQ156" s="16"/>
      <c r="BR156" s="16"/>
      <c r="BS156" s="16"/>
      <c r="BT156" s="16"/>
      <c r="BU156" s="8"/>
      <c r="BV156" s="8"/>
      <c r="BW156" s="8"/>
      <c r="BX156" s="8"/>
      <c r="BY156" s="25"/>
      <c r="BZ156" s="25"/>
      <c r="CA156" s="25"/>
      <c r="CB156" s="25"/>
      <c r="CC156" s="25"/>
      <c r="CD156" s="25"/>
      <c r="CE156" s="25"/>
      <c r="CF156" s="25"/>
      <c r="CG156" s="25"/>
      <c r="CH156" s="25"/>
      <c r="CI156" s="25"/>
      <c r="CJ156" s="25"/>
      <c r="CK156" s="25"/>
      <c r="CL156" s="25"/>
      <c r="CM156" s="25"/>
      <c r="CN156" s="25"/>
      <c r="CO156" s="25"/>
      <c r="CP156" s="25"/>
      <c r="CQ156" s="25"/>
      <c r="CR156" s="25"/>
      <c r="CS156" s="25"/>
      <c r="CT156" s="25"/>
      <c r="CU156" s="25"/>
      <c r="CV156" s="25"/>
      <c r="CW156" s="25"/>
      <c r="CX156" s="25"/>
      <c r="CY156" s="25"/>
      <c r="CZ156" s="25"/>
    </row>
    <row r="157" spans="1:104">
      <c r="A157" s="8" t="s">
        <v>19</v>
      </c>
      <c r="B157" s="8">
        <v>165</v>
      </c>
      <c r="C157" s="8" t="s">
        <v>19</v>
      </c>
      <c r="D157" s="8">
        <v>340</v>
      </c>
      <c r="E157" s="8" t="s">
        <v>20</v>
      </c>
      <c r="F157" s="8">
        <v>1024</v>
      </c>
      <c r="G157" s="8" t="s">
        <v>21</v>
      </c>
      <c r="H157" s="8">
        <v>5766</v>
      </c>
      <c r="I157" s="8">
        <v>-3.65729074479945e-7</v>
      </c>
      <c r="J157" s="8">
        <v>-4.38726453371175e-7</v>
      </c>
      <c r="K157" s="8">
        <v>1.31758358886786</v>
      </c>
      <c r="L157" s="10"/>
      <c r="M157" s="10">
        <f t="shared" si="8"/>
        <v>976.695</v>
      </c>
      <c r="N157" s="18">
        <f t="shared" si="9"/>
        <v>811.695</v>
      </c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5"/>
      <c r="AM157" s="15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5"/>
      <c r="AZ157" s="15"/>
      <c r="BA157" s="16"/>
      <c r="BB157" s="16"/>
      <c r="BC157" s="16"/>
      <c r="BD157" s="16"/>
      <c r="BE157" s="16"/>
      <c r="BF157" s="16"/>
      <c r="BG157" s="16"/>
      <c r="BH157" s="16"/>
      <c r="BI157" s="16"/>
      <c r="BJ157" s="16"/>
      <c r="BK157" s="16"/>
      <c r="BL157" s="15"/>
      <c r="BM157" s="15"/>
      <c r="BN157" s="21"/>
      <c r="BO157" s="16"/>
      <c r="BP157" s="16"/>
      <c r="BQ157" s="16"/>
      <c r="BR157" s="16"/>
      <c r="BS157" s="16"/>
      <c r="BT157" s="16"/>
      <c r="BU157" s="8"/>
      <c r="BV157" s="8"/>
      <c r="BW157" s="8"/>
      <c r="BX157" s="8"/>
      <c r="BY157" s="25"/>
      <c r="BZ157" s="25"/>
      <c r="CA157" s="25"/>
      <c r="CB157" s="25"/>
      <c r="CC157" s="25"/>
      <c r="CD157" s="25"/>
      <c r="CE157" s="25"/>
      <c r="CF157" s="25"/>
      <c r="CG157" s="25"/>
      <c r="CH157" s="25"/>
      <c r="CI157" s="25"/>
      <c r="CJ157" s="25"/>
      <c r="CK157" s="25"/>
      <c r="CL157" s="25"/>
      <c r="CM157" s="25"/>
      <c r="CN157" s="25"/>
      <c r="CO157" s="25"/>
      <c r="CP157" s="25"/>
      <c r="CQ157" s="25"/>
      <c r="CR157" s="25"/>
      <c r="CS157" s="25"/>
      <c r="CT157" s="25"/>
      <c r="CU157" s="25"/>
      <c r="CV157" s="25"/>
      <c r="CW157" s="25"/>
      <c r="CX157" s="25"/>
      <c r="CY157" s="25"/>
      <c r="CZ157" s="25"/>
    </row>
    <row r="158" spans="1:104">
      <c r="A158" s="8" t="s">
        <v>19</v>
      </c>
      <c r="B158" s="8">
        <v>165</v>
      </c>
      <c r="C158" s="8" t="s">
        <v>19</v>
      </c>
      <c r="D158" s="8">
        <v>340</v>
      </c>
      <c r="E158" s="8" t="s">
        <v>20</v>
      </c>
      <c r="F158" s="8">
        <v>1089</v>
      </c>
      <c r="G158" s="8" t="s">
        <v>21</v>
      </c>
      <c r="H158" s="8">
        <v>6144</v>
      </c>
      <c r="I158" s="8">
        <v>-3.59764437143261e-7</v>
      </c>
      <c r="J158" s="8">
        <v>-4.19856215063e-7</v>
      </c>
      <c r="K158" s="8">
        <v>1.30240136711702</v>
      </c>
      <c r="L158" s="10"/>
      <c r="M158" s="10">
        <f t="shared" si="8"/>
        <v>1039.555</v>
      </c>
      <c r="N158" s="18">
        <f t="shared" si="9"/>
        <v>874.555</v>
      </c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5"/>
      <c r="AM158" s="15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5"/>
      <c r="AZ158" s="15"/>
      <c r="BA158" s="16"/>
      <c r="BB158" s="16"/>
      <c r="BC158" s="16"/>
      <c r="BD158" s="16"/>
      <c r="BE158" s="16"/>
      <c r="BF158" s="16"/>
      <c r="BG158" s="16"/>
      <c r="BH158" s="16"/>
      <c r="BI158" s="16"/>
      <c r="BJ158" s="16"/>
      <c r="BK158" s="16"/>
      <c r="BL158" s="15"/>
      <c r="BM158" s="15"/>
      <c r="BN158" s="21"/>
      <c r="BO158" s="16"/>
      <c r="BP158" s="16"/>
      <c r="BQ158" s="16"/>
      <c r="BR158" s="16"/>
      <c r="BS158" s="16"/>
      <c r="BT158" s="16"/>
      <c r="BU158" s="8"/>
      <c r="BV158" s="8"/>
      <c r="BW158" s="8"/>
      <c r="BX158" s="8"/>
      <c r="BY158" s="25"/>
      <c r="BZ158" s="25"/>
      <c r="CA158" s="25"/>
      <c r="CB158" s="25"/>
      <c r="CC158" s="25"/>
      <c r="CD158" s="25"/>
      <c r="CE158" s="25"/>
      <c r="CF158" s="25"/>
      <c r="CG158" s="25"/>
      <c r="CH158" s="25"/>
      <c r="CI158" s="25"/>
      <c r="CJ158" s="25"/>
      <c r="CK158" s="25"/>
      <c r="CL158" s="25"/>
      <c r="CM158" s="25"/>
      <c r="CN158" s="25"/>
      <c r="CO158" s="25"/>
      <c r="CP158" s="25"/>
      <c r="CQ158" s="25"/>
      <c r="CR158" s="25"/>
      <c r="CS158" s="25"/>
      <c r="CT158" s="25"/>
      <c r="CU158" s="25"/>
      <c r="CV158" s="25"/>
      <c r="CW158" s="25"/>
      <c r="CX158" s="25"/>
      <c r="CY158" s="25"/>
      <c r="CZ158" s="25"/>
    </row>
    <row r="159" ht="23.25" spans="1:104">
      <c r="A159" s="7" t="s">
        <v>26</v>
      </c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10"/>
      <c r="M159" s="10"/>
      <c r="N159" s="18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5"/>
      <c r="Z159" s="15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5"/>
      <c r="AM159" s="15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5"/>
      <c r="AZ159" s="15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15"/>
      <c r="BM159" s="15"/>
      <c r="BN159" s="21"/>
      <c r="BO159" s="16"/>
      <c r="BP159" s="16"/>
      <c r="BQ159" s="16"/>
      <c r="BR159" s="16"/>
      <c r="BS159" s="16"/>
      <c r="BT159" s="16"/>
      <c r="BU159" s="8"/>
      <c r="BV159" s="8"/>
      <c r="BW159" s="8"/>
      <c r="BX159" s="8"/>
      <c r="BY159" s="25"/>
      <c r="BZ159" s="25"/>
      <c r="CA159" s="25"/>
      <c r="CB159" s="25"/>
      <c r="CC159" s="25"/>
      <c r="CD159" s="25"/>
      <c r="CE159" s="25"/>
      <c r="CF159" s="25"/>
      <c r="CG159" s="25"/>
      <c r="CH159" s="25"/>
      <c r="CI159" s="25"/>
      <c r="CJ159" s="25"/>
      <c r="CK159" s="25"/>
      <c r="CL159" s="25"/>
      <c r="CM159" s="25"/>
      <c r="CN159" s="25"/>
      <c r="CO159" s="25"/>
      <c r="CP159" s="25"/>
      <c r="CQ159" s="25"/>
      <c r="CR159" s="25"/>
      <c r="CS159" s="25"/>
      <c r="CT159" s="25"/>
      <c r="CU159" s="25"/>
      <c r="CV159" s="25"/>
      <c r="CW159" s="25"/>
      <c r="CX159" s="25"/>
      <c r="CY159" s="25"/>
      <c r="CZ159" s="25"/>
    </row>
    <row r="160" ht="23.25" spans="1:104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10"/>
      <c r="M160" s="10"/>
      <c r="N160" s="18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5"/>
      <c r="Z160" s="15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5"/>
      <c r="AM160" s="15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5"/>
      <c r="AZ160" s="15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15"/>
      <c r="BM160" s="15"/>
      <c r="BN160" s="21"/>
      <c r="BO160" s="14"/>
      <c r="BP160" s="14"/>
      <c r="BQ160" s="14"/>
      <c r="BR160" s="14"/>
      <c r="BS160" s="14"/>
      <c r="BT160" s="14"/>
      <c r="BU160" s="24"/>
      <c r="BV160" s="24"/>
      <c r="BW160" s="24"/>
      <c r="BX160" s="24"/>
      <c r="BY160" s="25"/>
      <c r="BZ160" s="25"/>
      <c r="CA160" s="25"/>
      <c r="CB160" s="25"/>
      <c r="CC160" s="25"/>
      <c r="CD160" s="25"/>
      <c r="CE160" s="25"/>
      <c r="CF160" s="25"/>
      <c r="CG160" s="25"/>
      <c r="CH160" s="25"/>
      <c r="CI160" s="25"/>
      <c r="CJ160" s="25"/>
      <c r="CK160" s="25"/>
      <c r="CL160" s="25"/>
      <c r="CM160" s="25"/>
      <c r="CN160" s="25"/>
      <c r="CO160" s="25"/>
      <c r="CP160" s="25"/>
      <c r="CQ160" s="25"/>
      <c r="CR160" s="25"/>
      <c r="CS160" s="25"/>
      <c r="CT160" s="25"/>
      <c r="CU160" s="25"/>
      <c r="CV160" s="25"/>
      <c r="CW160" s="25"/>
      <c r="CX160" s="25"/>
      <c r="CY160" s="25"/>
      <c r="CZ160" s="25"/>
    </row>
    <row r="161" ht="23.25" spans="1:104">
      <c r="A161" s="8" t="s">
        <v>7</v>
      </c>
      <c r="B161" s="8" t="s">
        <v>8</v>
      </c>
      <c r="C161" s="8" t="s">
        <v>9</v>
      </c>
      <c r="D161" s="8" t="s">
        <v>10</v>
      </c>
      <c r="E161" s="8" t="s">
        <v>11</v>
      </c>
      <c r="F161" s="8" t="s">
        <v>12</v>
      </c>
      <c r="G161" s="8" t="s">
        <v>13</v>
      </c>
      <c r="H161" s="8" t="s">
        <v>14</v>
      </c>
      <c r="I161" s="8" t="s">
        <v>15</v>
      </c>
      <c r="J161" s="8" t="s">
        <v>16</v>
      </c>
      <c r="K161" s="8" t="s">
        <v>17</v>
      </c>
      <c r="L161" s="10"/>
      <c r="M161" s="10"/>
      <c r="N161" s="18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5"/>
      <c r="AM161" s="15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5"/>
      <c r="AZ161" s="15"/>
      <c r="BA161" s="16"/>
      <c r="BB161" s="16"/>
      <c r="BC161" s="16"/>
      <c r="BD161" s="16"/>
      <c r="BE161" s="16"/>
      <c r="BF161" s="16"/>
      <c r="BG161" s="16"/>
      <c r="BH161" s="16"/>
      <c r="BI161" s="16"/>
      <c r="BJ161" s="16"/>
      <c r="BK161" s="16"/>
      <c r="BL161" s="15"/>
      <c r="BM161" s="15"/>
      <c r="BN161" s="21"/>
      <c r="BO161" s="14"/>
      <c r="BP161" s="14"/>
      <c r="BQ161" s="14"/>
      <c r="BR161" s="14"/>
      <c r="BS161" s="14"/>
      <c r="BT161" s="14"/>
      <c r="BU161" s="24"/>
      <c r="BV161" s="24"/>
      <c r="BW161" s="24"/>
      <c r="BX161" s="24"/>
      <c r="BY161" s="25"/>
      <c r="BZ161" s="25"/>
      <c r="CA161" s="25"/>
      <c r="CB161" s="25"/>
      <c r="CC161" s="25"/>
      <c r="CD161" s="25"/>
      <c r="CE161" s="25"/>
      <c r="CF161" s="25"/>
      <c r="CG161" s="25"/>
      <c r="CH161" s="25"/>
      <c r="CI161" s="25"/>
      <c r="CJ161" s="25"/>
      <c r="CK161" s="25"/>
      <c r="CL161" s="25"/>
      <c r="CM161" s="25"/>
      <c r="CN161" s="25"/>
      <c r="CO161" s="25"/>
      <c r="CP161" s="25"/>
      <c r="CQ161" s="25"/>
      <c r="CR161" s="25"/>
      <c r="CS161" s="25"/>
      <c r="CT161" s="25"/>
      <c r="CU161" s="25"/>
      <c r="CV161" s="25"/>
      <c r="CW161" s="25"/>
      <c r="CX161" s="25"/>
      <c r="CY161" s="25"/>
      <c r="CZ161" s="25"/>
    </row>
    <row r="162" ht="23.25" spans="1:104">
      <c r="A162" s="8" t="s">
        <v>19</v>
      </c>
      <c r="B162" s="8">
        <v>174</v>
      </c>
      <c r="C162" s="8" t="s">
        <v>19</v>
      </c>
      <c r="D162" s="8">
        <v>340</v>
      </c>
      <c r="E162" s="8" t="s">
        <v>20</v>
      </c>
      <c r="F162" s="8">
        <v>144</v>
      </c>
      <c r="G162" s="8" t="s">
        <v>21</v>
      </c>
      <c r="H162" s="8">
        <v>726</v>
      </c>
      <c r="I162" s="8">
        <v>-1.40441000592718</v>
      </c>
      <c r="J162" s="8">
        <v>-1.55785088971555</v>
      </c>
      <c r="K162" s="8">
        <v>-0.648602340344652</v>
      </c>
      <c r="L162" s="10"/>
      <c r="M162" s="10">
        <f t="shared" ref="M162:M183" si="10">(FLOOR(((SQRT(1+8*F162)-3))/2,0.1)*(FLOOR(((SQRT(1+8*F162)-3))/2,0.1)+1))/2</f>
        <v>126.28</v>
      </c>
      <c r="N162" s="18">
        <f t="shared" ref="N162:N183" si="11">ABS(B162-M162)</f>
        <v>47.72</v>
      </c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6"/>
      <c r="BB162" s="16"/>
      <c r="BC162" s="16"/>
      <c r="BD162" s="16"/>
      <c r="BE162" s="16"/>
      <c r="BF162" s="16"/>
      <c r="BG162" s="16"/>
      <c r="BH162" s="16"/>
      <c r="BI162" s="16"/>
      <c r="BJ162" s="16"/>
      <c r="BK162" s="16"/>
      <c r="BL162" s="15"/>
      <c r="BM162" s="15"/>
      <c r="BN162" s="21"/>
      <c r="BO162" s="15"/>
      <c r="BP162" s="15"/>
      <c r="BQ162" s="15"/>
      <c r="BR162" s="15"/>
      <c r="BS162" s="15"/>
      <c r="BT162" s="15"/>
      <c r="BU162" s="10"/>
      <c r="BV162" s="10"/>
      <c r="BW162" s="10"/>
      <c r="BX162" s="10"/>
      <c r="BY162" s="25"/>
      <c r="BZ162" s="25"/>
      <c r="CA162" s="25"/>
      <c r="CB162" s="25"/>
      <c r="CC162" s="25"/>
      <c r="CD162" s="25"/>
      <c r="CE162" s="25"/>
      <c r="CF162" s="25"/>
      <c r="CG162" s="25"/>
      <c r="CH162" s="25"/>
      <c r="CI162" s="25"/>
      <c r="CJ162" s="25"/>
      <c r="CK162" s="25"/>
      <c r="CL162" s="25"/>
      <c r="CM162" s="25"/>
      <c r="CN162" s="25"/>
      <c r="CO162" s="25"/>
      <c r="CP162" s="25"/>
      <c r="CQ162" s="25"/>
      <c r="CR162" s="25"/>
      <c r="CS162" s="25"/>
      <c r="CT162" s="25"/>
      <c r="CU162" s="25"/>
      <c r="CV162" s="25"/>
      <c r="CW162" s="25"/>
      <c r="CX162" s="25"/>
      <c r="CY162" s="25"/>
      <c r="CZ162" s="25"/>
    </row>
    <row r="163" spans="1:104">
      <c r="A163" s="8" t="s">
        <v>19</v>
      </c>
      <c r="B163" s="8">
        <v>174</v>
      </c>
      <c r="C163" s="8" t="s">
        <v>19</v>
      </c>
      <c r="D163" s="8">
        <v>340</v>
      </c>
      <c r="E163" s="8" t="s">
        <v>20</v>
      </c>
      <c r="F163" s="8">
        <v>169</v>
      </c>
      <c r="G163" s="8" t="s">
        <v>21</v>
      </c>
      <c r="H163" s="8">
        <v>864</v>
      </c>
      <c r="I163" s="8">
        <v>-1.90411972871817</v>
      </c>
      <c r="J163" s="8">
        <v>-1.78993969123201</v>
      </c>
      <c r="K163" s="8">
        <v>-0.845568248141167</v>
      </c>
      <c r="L163" s="10"/>
      <c r="M163" s="10">
        <f t="shared" si="10"/>
        <v>149.52</v>
      </c>
      <c r="N163" s="18">
        <f t="shared" si="11"/>
        <v>24.48</v>
      </c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5"/>
      <c r="AZ163" s="15"/>
      <c r="BA163" s="16"/>
      <c r="BB163" s="16"/>
      <c r="BC163" s="16"/>
      <c r="BD163" s="16"/>
      <c r="BE163" s="16"/>
      <c r="BF163" s="16"/>
      <c r="BG163" s="16"/>
      <c r="BH163" s="16"/>
      <c r="BI163" s="16"/>
      <c r="BJ163" s="16"/>
      <c r="BK163" s="16"/>
      <c r="BL163" s="15"/>
      <c r="BM163" s="15"/>
      <c r="BN163" s="21"/>
      <c r="BO163" s="16"/>
      <c r="BP163" s="16"/>
      <c r="BQ163" s="16"/>
      <c r="BR163" s="16"/>
      <c r="BS163" s="16"/>
      <c r="BT163" s="16"/>
      <c r="BU163" s="8"/>
      <c r="BV163" s="8"/>
      <c r="BW163" s="8"/>
      <c r="BX163" s="8"/>
      <c r="BY163" s="25"/>
      <c r="BZ163" s="25"/>
      <c r="CA163" s="25"/>
      <c r="CB163" s="25"/>
      <c r="CC163" s="25"/>
      <c r="CD163" s="25"/>
      <c r="CE163" s="25"/>
      <c r="CF163" s="25"/>
      <c r="CG163" s="25"/>
      <c r="CH163" s="25"/>
      <c r="CI163" s="25"/>
      <c r="CJ163" s="25"/>
      <c r="CK163" s="25"/>
      <c r="CL163" s="25"/>
      <c r="CM163" s="25"/>
      <c r="CN163" s="25"/>
      <c r="CO163" s="25"/>
      <c r="CP163" s="25"/>
      <c r="CQ163" s="25"/>
      <c r="CR163" s="25"/>
      <c r="CS163" s="25"/>
      <c r="CT163" s="25"/>
      <c r="CU163" s="25"/>
      <c r="CV163" s="25"/>
      <c r="CW163" s="25"/>
      <c r="CX163" s="25"/>
      <c r="CY163" s="25"/>
      <c r="CZ163" s="25"/>
    </row>
    <row r="164" spans="1:104">
      <c r="A164" s="9" t="s">
        <v>19</v>
      </c>
      <c r="B164" s="9">
        <v>174</v>
      </c>
      <c r="C164" s="9" t="s">
        <v>19</v>
      </c>
      <c r="D164" s="9">
        <v>340</v>
      </c>
      <c r="E164" s="9" t="s">
        <v>20</v>
      </c>
      <c r="F164" s="9">
        <v>196</v>
      </c>
      <c r="G164" s="9" t="s">
        <v>21</v>
      </c>
      <c r="H164" s="9">
        <v>1014</v>
      </c>
      <c r="I164" s="9">
        <v>-2.08645383861956</v>
      </c>
      <c r="J164" s="9">
        <v>-1.71102859169676</v>
      </c>
      <c r="K164" s="9">
        <v>-0.579986022261937</v>
      </c>
      <c r="L164" s="11"/>
      <c r="M164" s="11">
        <f t="shared" si="10"/>
        <v>176.595</v>
      </c>
      <c r="N164" s="18">
        <f t="shared" si="11"/>
        <v>2.59500000000003</v>
      </c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5"/>
      <c r="AM164" s="15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5"/>
      <c r="AZ164" s="15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2"/>
      <c r="BM164" s="22"/>
      <c r="BN164" s="21"/>
      <c r="BO164" s="16"/>
      <c r="BP164" s="16"/>
      <c r="BQ164" s="16"/>
      <c r="BR164" s="16"/>
      <c r="BS164" s="16"/>
      <c r="BT164" s="16"/>
      <c r="BU164" s="8"/>
      <c r="BV164" s="8"/>
      <c r="BW164" s="8"/>
      <c r="BX164" s="8"/>
      <c r="BY164" s="25"/>
      <c r="BZ164" s="25"/>
      <c r="CA164" s="25"/>
      <c r="CB164" s="25"/>
      <c r="CC164" s="25"/>
      <c r="CD164" s="25"/>
      <c r="CE164" s="25"/>
      <c r="CF164" s="25"/>
      <c r="CG164" s="25"/>
      <c r="CH164" s="25"/>
      <c r="CI164" s="25"/>
      <c r="CJ164" s="25"/>
      <c r="CK164" s="25"/>
      <c r="CL164" s="25"/>
      <c r="CM164" s="25"/>
      <c r="CN164" s="25"/>
      <c r="CO164" s="25"/>
      <c r="CP164" s="25"/>
      <c r="CQ164" s="25"/>
      <c r="CR164" s="25"/>
      <c r="CS164" s="25"/>
      <c r="CT164" s="25"/>
      <c r="CU164" s="25"/>
      <c r="CV164" s="25"/>
      <c r="CW164" s="25"/>
      <c r="CX164" s="25"/>
      <c r="CY164" s="25"/>
      <c r="CZ164" s="25"/>
    </row>
    <row r="165" spans="1:104">
      <c r="A165" s="8" t="s">
        <v>19</v>
      </c>
      <c r="B165" s="8">
        <v>174</v>
      </c>
      <c r="C165" s="8" t="s">
        <v>19</v>
      </c>
      <c r="D165" s="8">
        <v>340</v>
      </c>
      <c r="E165" s="8" t="s">
        <v>20</v>
      </c>
      <c r="F165" s="8">
        <v>225</v>
      </c>
      <c r="G165" s="8" t="s">
        <v>21</v>
      </c>
      <c r="H165" s="8">
        <v>1176</v>
      </c>
      <c r="I165" s="8">
        <v>-1.90008319923273</v>
      </c>
      <c r="J165" s="8">
        <v>-1.53086047428386</v>
      </c>
      <c r="K165" s="8">
        <v>-0.231823323652117</v>
      </c>
      <c r="L165" s="10"/>
      <c r="M165" s="10">
        <f t="shared" si="10"/>
        <v>203.895</v>
      </c>
      <c r="N165" s="18">
        <f t="shared" si="11"/>
        <v>29.8950000000001</v>
      </c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5"/>
      <c r="AM165" s="15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5"/>
      <c r="AZ165" s="15"/>
      <c r="BA165" s="16"/>
      <c r="BB165" s="16"/>
      <c r="BC165" s="16"/>
      <c r="BD165" s="16"/>
      <c r="BE165" s="16"/>
      <c r="BF165" s="16"/>
      <c r="BG165" s="16"/>
      <c r="BH165" s="16"/>
      <c r="BI165" s="16"/>
      <c r="BJ165" s="16"/>
      <c r="BK165" s="16"/>
      <c r="BL165" s="15"/>
      <c r="BM165" s="15"/>
      <c r="BN165" s="21"/>
      <c r="BO165" s="16"/>
      <c r="BP165" s="16"/>
      <c r="BQ165" s="16"/>
      <c r="BR165" s="16"/>
      <c r="BS165" s="16"/>
      <c r="BT165" s="16"/>
      <c r="BU165" s="8"/>
      <c r="BV165" s="8"/>
      <c r="BW165" s="8"/>
      <c r="BX165" s="8"/>
      <c r="BY165" s="25"/>
      <c r="BZ165" s="25"/>
      <c r="CA165" s="25"/>
      <c r="CB165" s="25"/>
      <c r="CC165" s="25"/>
      <c r="CD165" s="25"/>
      <c r="CE165" s="25"/>
      <c r="CF165" s="25"/>
      <c r="CG165" s="25"/>
      <c r="CH165" s="25"/>
      <c r="CI165" s="25"/>
      <c r="CJ165" s="25"/>
      <c r="CK165" s="25"/>
      <c r="CL165" s="25"/>
      <c r="CM165" s="25"/>
      <c r="CN165" s="25"/>
      <c r="CO165" s="25"/>
      <c r="CP165" s="25"/>
      <c r="CQ165" s="25"/>
      <c r="CR165" s="25"/>
      <c r="CS165" s="25"/>
      <c r="CT165" s="25"/>
      <c r="CU165" s="25"/>
      <c r="CV165" s="25"/>
      <c r="CW165" s="25"/>
      <c r="CX165" s="25"/>
      <c r="CY165" s="25"/>
      <c r="CZ165" s="25"/>
    </row>
    <row r="166" spans="1:104">
      <c r="A166" s="8" t="s">
        <v>19</v>
      </c>
      <c r="B166" s="8">
        <v>174</v>
      </c>
      <c r="C166" s="8" t="s">
        <v>19</v>
      </c>
      <c r="D166" s="8">
        <v>340</v>
      </c>
      <c r="E166" s="8" t="s">
        <v>20</v>
      </c>
      <c r="F166" s="8">
        <v>256</v>
      </c>
      <c r="G166" s="8" t="s">
        <v>21</v>
      </c>
      <c r="H166" s="8">
        <v>1350</v>
      </c>
      <c r="I166" s="8">
        <v>-1.52794772363038</v>
      </c>
      <c r="J166" s="8">
        <v>-1.28890720783529</v>
      </c>
      <c r="K166" s="8">
        <v>0.165545293195289</v>
      </c>
      <c r="L166" s="10"/>
      <c r="M166" s="10">
        <f t="shared" si="10"/>
        <v>233.155</v>
      </c>
      <c r="N166" s="18">
        <f t="shared" si="11"/>
        <v>59.155</v>
      </c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5"/>
      <c r="AM166" s="15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5"/>
      <c r="AZ166" s="15"/>
      <c r="BA166" s="16"/>
      <c r="BB166" s="16"/>
      <c r="BC166" s="16"/>
      <c r="BD166" s="16"/>
      <c r="BE166" s="16"/>
      <c r="BF166" s="16"/>
      <c r="BG166" s="16"/>
      <c r="BH166" s="16"/>
      <c r="BI166" s="16"/>
      <c r="BJ166" s="16"/>
      <c r="BK166" s="16"/>
      <c r="BL166" s="15"/>
      <c r="BM166" s="15"/>
      <c r="BN166" s="21"/>
      <c r="BO166" s="16"/>
      <c r="BP166" s="16"/>
      <c r="BQ166" s="16"/>
      <c r="BR166" s="16"/>
      <c r="BS166" s="16"/>
      <c r="BT166" s="16"/>
      <c r="BU166" s="8"/>
      <c r="BV166" s="8"/>
      <c r="BW166" s="8"/>
      <c r="BX166" s="8"/>
      <c r="BY166" s="25"/>
      <c r="BZ166" s="25"/>
      <c r="CA166" s="25"/>
      <c r="CB166" s="25"/>
      <c r="CC166" s="25"/>
      <c r="CD166" s="25"/>
      <c r="CE166" s="25"/>
      <c r="CF166" s="25"/>
      <c r="CG166" s="25"/>
      <c r="CH166" s="25"/>
      <c r="CI166" s="25"/>
      <c r="CJ166" s="25"/>
      <c r="CK166" s="25"/>
      <c r="CL166" s="25"/>
      <c r="CM166" s="25"/>
      <c r="CN166" s="25"/>
      <c r="CO166" s="25"/>
      <c r="CP166" s="25"/>
      <c r="CQ166" s="25"/>
      <c r="CR166" s="25"/>
      <c r="CS166" s="25"/>
      <c r="CT166" s="25"/>
      <c r="CU166" s="25"/>
      <c r="CV166" s="25"/>
      <c r="CW166" s="25"/>
      <c r="CX166" s="25"/>
      <c r="CY166" s="25"/>
      <c r="CZ166" s="25"/>
    </row>
    <row r="167" spans="1:104">
      <c r="A167" s="8" t="s">
        <v>19</v>
      </c>
      <c r="B167" s="8">
        <v>174</v>
      </c>
      <c r="C167" s="8" t="s">
        <v>19</v>
      </c>
      <c r="D167" s="8">
        <v>340</v>
      </c>
      <c r="E167" s="8" t="s">
        <v>20</v>
      </c>
      <c r="F167" s="8">
        <v>289</v>
      </c>
      <c r="G167" s="8" t="s">
        <v>21</v>
      </c>
      <c r="H167" s="8">
        <v>1536</v>
      </c>
      <c r="I167" s="8">
        <v>-1.17816586835927</v>
      </c>
      <c r="J167" s="8">
        <v>-1.0508511024262</v>
      </c>
      <c r="K167" s="8">
        <v>0.447434458425558</v>
      </c>
      <c r="L167" s="10"/>
      <c r="M167" s="10">
        <f t="shared" si="10"/>
        <v>264.375</v>
      </c>
      <c r="N167" s="18">
        <f t="shared" si="11"/>
        <v>90.375</v>
      </c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5"/>
      <c r="AM167" s="15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5"/>
      <c r="AZ167" s="15"/>
      <c r="BA167" s="16"/>
      <c r="BB167" s="16"/>
      <c r="BC167" s="16"/>
      <c r="BD167" s="16"/>
      <c r="BE167" s="16"/>
      <c r="BF167" s="16"/>
      <c r="BG167" s="16"/>
      <c r="BH167" s="16"/>
      <c r="BI167" s="16"/>
      <c r="BJ167" s="16"/>
      <c r="BK167" s="16"/>
      <c r="BL167" s="15"/>
      <c r="BM167" s="15"/>
      <c r="BN167" s="21"/>
      <c r="BO167" s="16"/>
      <c r="BP167" s="16"/>
      <c r="BQ167" s="16"/>
      <c r="BR167" s="16"/>
      <c r="BS167" s="16"/>
      <c r="BT167" s="16"/>
      <c r="BU167" s="8"/>
      <c r="BV167" s="8"/>
      <c r="BW167" s="8"/>
      <c r="BX167" s="8"/>
      <c r="BY167" s="25"/>
      <c r="BZ167" s="25"/>
      <c r="CA167" s="25"/>
      <c r="CB167" s="25"/>
      <c r="CC167" s="25"/>
      <c r="CD167" s="25"/>
      <c r="CE167" s="25"/>
      <c r="CF167" s="25"/>
      <c r="CG167" s="25"/>
      <c r="CH167" s="25"/>
      <c r="CI167" s="25"/>
      <c r="CJ167" s="25"/>
      <c r="CK167" s="25"/>
      <c r="CL167" s="25"/>
      <c r="CM167" s="25"/>
      <c r="CN167" s="25"/>
      <c r="CO167" s="25"/>
      <c r="CP167" s="25"/>
      <c r="CQ167" s="25"/>
      <c r="CR167" s="25"/>
      <c r="CS167" s="25"/>
      <c r="CT167" s="25"/>
      <c r="CU167" s="25"/>
      <c r="CV167" s="25"/>
      <c r="CW167" s="25"/>
      <c r="CX167" s="25"/>
      <c r="CY167" s="25"/>
      <c r="CZ167" s="25"/>
    </row>
    <row r="168" spans="1:104">
      <c r="A168" s="8" t="s">
        <v>19</v>
      </c>
      <c r="B168" s="8">
        <v>174</v>
      </c>
      <c r="C168" s="8" t="s">
        <v>19</v>
      </c>
      <c r="D168" s="8">
        <v>340</v>
      </c>
      <c r="E168" s="8" t="s">
        <v>20</v>
      </c>
      <c r="F168" s="8">
        <v>324</v>
      </c>
      <c r="G168" s="8" t="s">
        <v>21</v>
      </c>
      <c r="H168" s="8">
        <v>1734</v>
      </c>
      <c r="I168" s="8">
        <v>-0.815397658472307</v>
      </c>
      <c r="J168" s="8">
        <v>-0.739416063987774</v>
      </c>
      <c r="K168" s="8">
        <v>0.888841807462521</v>
      </c>
      <c r="L168" s="10"/>
      <c r="M168" s="10">
        <f t="shared" si="10"/>
        <v>297.555</v>
      </c>
      <c r="N168" s="18">
        <f t="shared" si="11"/>
        <v>123.555</v>
      </c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5"/>
      <c r="AM168" s="15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5"/>
      <c r="AZ168" s="15"/>
      <c r="BA168" s="16"/>
      <c r="BB168" s="16"/>
      <c r="BC168" s="16"/>
      <c r="BD168" s="16"/>
      <c r="BE168" s="16"/>
      <c r="BF168" s="16"/>
      <c r="BG168" s="16"/>
      <c r="BH168" s="16"/>
      <c r="BI168" s="16"/>
      <c r="BJ168" s="16"/>
      <c r="BK168" s="16"/>
      <c r="BL168" s="15"/>
      <c r="BM168" s="15"/>
      <c r="BN168" s="21"/>
      <c r="BO168" s="16"/>
      <c r="BP168" s="16"/>
      <c r="BQ168" s="16"/>
      <c r="BR168" s="16"/>
      <c r="BS168" s="16"/>
      <c r="BT168" s="16"/>
      <c r="BU168" s="8"/>
      <c r="BV168" s="8"/>
      <c r="BW168" s="8"/>
      <c r="BX168" s="8"/>
      <c r="BY168" s="25"/>
      <c r="BZ168" s="25"/>
      <c r="CA168" s="25"/>
      <c r="CB168" s="25"/>
      <c r="CC168" s="25"/>
      <c r="CD168" s="25"/>
      <c r="CE168" s="25"/>
      <c r="CF168" s="25"/>
      <c r="CG168" s="25"/>
      <c r="CH168" s="25"/>
      <c r="CI168" s="25"/>
      <c r="CJ168" s="25"/>
      <c r="CK168" s="25"/>
      <c r="CL168" s="25"/>
      <c r="CM168" s="25"/>
      <c r="CN168" s="25"/>
      <c r="CO168" s="25"/>
      <c r="CP168" s="25"/>
      <c r="CQ168" s="25"/>
      <c r="CR168" s="25"/>
      <c r="CS168" s="25"/>
      <c r="CT168" s="25"/>
      <c r="CU168" s="25"/>
      <c r="CV168" s="25"/>
      <c r="CW168" s="25"/>
      <c r="CX168" s="25"/>
      <c r="CY168" s="25"/>
      <c r="CZ168" s="25"/>
    </row>
    <row r="169" spans="1:104">
      <c r="A169" s="8" t="s">
        <v>19</v>
      </c>
      <c r="B169" s="8">
        <v>174</v>
      </c>
      <c r="C169" s="8" t="s">
        <v>19</v>
      </c>
      <c r="D169" s="8">
        <v>340</v>
      </c>
      <c r="E169" s="8" t="s">
        <v>20</v>
      </c>
      <c r="F169" s="8">
        <v>361</v>
      </c>
      <c r="G169" s="8" t="s">
        <v>21</v>
      </c>
      <c r="H169" s="8">
        <v>1944</v>
      </c>
      <c r="I169" s="8">
        <v>-0.451536606661362</v>
      </c>
      <c r="J169" s="8">
        <v>-0.397872086886966</v>
      </c>
      <c r="K169" s="8">
        <v>1.44039222911384</v>
      </c>
      <c r="L169" s="10"/>
      <c r="M169" s="10">
        <f t="shared" si="10"/>
        <v>332.695</v>
      </c>
      <c r="N169" s="18">
        <f t="shared" si="11"/>
        <v>158.695</v>
      </c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5"/>
      <c r="AM169" s="15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5"/>
      <c r="AZ169" s="15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  <c r="BK169" s="16"/>
      <c r="BL169" s="15"/>
      <c r="BM169" s="15"/>
      <c r="BN169" s="21"/>
      <c r="BO169" s="16"/>
      <c r="BP169" s="16"/>
      <c r="BQ169" s="16"/>
      <c r="BR169" s="16"/>
      <c r="BS169" s="16"/>
      <c r="BT169" s="16"/>
      <c r="BU169" s="8"/>
      <c r="BV169" s="8"/>
      <c r="BW169" s="8"/>
      <c r="BX169" s="8"/>
      <c r="BY169" s="25"/>
      <c r="BZ169" s="25"/>
      <c r="CA169" s="25"/>
      <c r="CB169" s="25"/>
      <c r="CC169" s="25"/>
      <c r="CD169" s="25"/>
      <c r="CE169" s="25"/>
      <c r="CF169" s="25"/>
      <c r="CG169" s="25"/>
      <c r="CH169" s="25"/>
      <c r="CI169" s="25"/>
      <c r="CJ169" s="25"/>
      <c r="CK169" s="25"/>
      <c r="CL169" s="25"/>
      <c r="CM169" s="25"/>
      <c r="CN169" s="25"/>
      <c r="CO169" s="25"/>
      <c r="CP169" s="25"/>
      <c r="CQ169" s="25"/>
      <c r="CR169" s="25"/>
      <c r="CS169" s="25"/>
      <c r="CT169" s="25"/>
      <c r="CU169" s="25"/>
      <c r="CV169" s="25"/>
      <c r="CW169" s="25"/>
      <c r="CX169" s="25"/>
      <c r="CY169" s="25"/>
      <c r="CZ169" s="25"/>
    </row>
    <row r="170" spans="1:104">
      <c r="A170" s="8" t="s">
        <v>19</v>
      </c>
      <c r="B170" s="8">
        <v>174</v>
      </c>
      <c r="C170" s="8" t="s">
        <v>19</v>
      </c>
      <c r="D170" s="8">
        <v>340</v>
      </c>
      <c r="E170" s="8" t="s">
        <v>20</v>
      </c>
      <c r="F170" s="8">
        <v>400</v>
      </c>
      <c r="G170" s="8" t="s">
        <v>21</v>
      </c>
      <c r="H170" s="8">
        <v>2166</v>
      </c>
      <c r="I170" s="8">
        <v>-0.101143580711151</v>
      </c>
      <c r="J170" s="8">
        <v>-0.0875052472843397</v>
      </c>
      <c r="K170" s="8">
        <v>2.10905038547028</v>
      </c>
      <c r="L170" s="10"/>
      <c r="M170" s="10">
        <f t="shared" si="10"/>
        <v>369.795</v>
      </c>
      <c r="N170" s="18">
        <f t="shared" si="11"/>
        <v>195.795</v>
      </c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5"/>
      <c r="AM170" s="15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5"/>
      <c r="AZ170" s="15"/>
      <c r="BA170" s="16"/>
      <c r="BB170" s="16"/>
      <c r="BC170" s="16"/>
      <c r="BD170" s="16"/>
      <c r="BE170" s="16"/>
      <c r="BF170" s="16"/>
      <c r="BG170" s="16"/>
      <c r="BH170" s="16"/>
      <c r="BI170" s="16"/>
      <c r="BJ170" s="16"/>
      <c r="BK170" s="16"/>
      <c r="BL170" s="15"/>
      <c r="BM170" s="15"/>
      <c r="BN170" s="21"/>
      <c r="BO170" s="16"/>
      <c r="BP170" s="16"/>
      <c r="BQ170" s="16"/>
      <c r="BR170" s="16"/>
      <c r="BS170" s="16"/>
      <c r="BT170" s="16"/>
      <c r="BU170" s="8"/>
      <c r="BV170" s="8"/>
      <c r="BW170" s="8"/>
      <c r="BX170" s="8"/>
      <c r="BY170" s="25"/>
      <c r="BZ170" s="25"/>
      <c r="CA170" s="25"/>
      <c r="CB170" s="25"/>
      <c r="CC170" s="25"/>
      <c r="CD170" s="25"/>
      <c r="CE170" s="25"/>
      <c r="CF170" s="25"/>
      <c r="CG170" s="25"/>
      <c r="CH170" s="25"/>
      <c r="CI170" s="25"/>
      <c r="CJ170" s="25"/>
      <c r="CK170" s="25"/>
      <c r="CL170" s="25"/>
      <c r="CM170" s="25"/>
      <c r="CN170" s="25"/>
      <c r="CO170" s="25"/>
      <c r="CP170" s="25"/>
      <c r="CQ170" s="25"/>
      <c r="CR170" s="25"/>
      <c r="CS170" s="25"/>
      <c r="CT170" s="25"/>
      <c r="CU170" s="25"/>
      <c r="CV170" s="25"/>
      <c r="CW170" s="25"/>
      <c r="CX170" s="25"/>
      <c r="CY170" s="25"/>
      <c r="CZ170" s="25"/>
    </row>
    <row r="171" spans="1:104">
      <c r="A171" s="8" t="s">
        <v>19</v>
      </c>
      <c r="B171" s="8">
        <v>174</v>
      </c>
      <c r="C171" s="8" t="s">
        <v>19</v>
      </c>
      <c r="D171" s="8">
        <v>340</v>
      </c>
      <c r="E171" s="8" t="s">
        <v>20</v>
      </c>
      <c r="F171" s="8">
        <v>441</v>
      </c>
      <c r="G171" s="8" t="s">
        <v>21</v>
      </c>
      <c r="H171" s="8">
        <v>2400</v>
      </c>
      <c r="I171" s="8">
        <v>1.30709451818007e-5</v>
      </c>
      <c r="J171" s="8">
        <v>-4.83946049023692e-6</v>
      </c>
      <c r="K171" s="8">
        <v>2.14080683971991</v>
      </c>
      <c r="L171" s="10"/>
      <c r="M171" s="10">
        <f t="shared" si="10"/>
        <v>411.72</v>
      </c>
      <c r="N171" s="18">
        <f t="shared" si="11"/>
        <v>237.72</v>
      </c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5"/>
      <c r="AM171" s="15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5"/>
      <c r="AZ171" s="15"/>
      <c r="BA171" s="16"/>
      <c r="BB171" s="16"/>
      <c r="BC171" s="16"/>
      <c r="BD171" s="16"/>
      <c r="BE171" s="16"/>
      <c r="BF171" s="16"/>
      <c r="BG171" s="16"/>
      <c r="BH171" s="16"/>
      <c r="BI171" s="16"/>
      <c r="BJ171" s="16"/>
      <c r="BK171" s="16"/>
      <c r="BL171" s="15"/>
      <c r="BM171" s="15"/>
      <c r="BN171" s="21"/>
      <c r="BO171" s="16"/>
      <c r="BP171" s="16"/>
      <c r="BQ171" s="16"/>
      <c r="BR171" s="16"/>
      <c r="BS171" s="16"/>
      <c r="BT171" s="16"/>
      <c r="BU171" s="8"/>
      <c r="BV171" s="8"/>
      <c r="BW171" s="8"/>
      <c r="BX171" s="8"/>
      <c r="BY171" s="25"/>
      <c r="BZ171" s="25"/>
      <c r="CA171" s="25"/>
      <c r="CB171" s="25"/>
      <c r="CC171" s="25"/>
      <c r="CD171" s="25"/>
      <c r="CE171" s="25"/>
      <c r="CF171" s="25"/>
      <c r="CG171" s="25"/>
      <c r="CH171" s="25"/>
      <c r="CI171" s="25"/>
      <c r="CJ171" s="25"/>
      <c r="CK171" s="25"/>
      <c r="CL171" s="25"/>
      <c r="CM171" s="25"/>
      <c r="CN171" s="25"/>
      <c r="CO171" s="25"/>
      <c r="CP171" s="25"/>
      <c r="CQ171" s="25"/>
      <c r="CR171" s="25"/>
      <c r="CS171" s="25"/>
      <c r="CT171" s="25"/>
      <c r="CU171" s="25"/>
      <c r="CV171" s="25"/>
      <c r="CW171" s="25"/>
      <c r="CX171" s="25"/>
      <c r="CY171" s="25"/>
      <c r="CZ171" s="25"/>
    </row>
    <row r="172" spans="1:104">
      <c r="A172" s="8" t="s">
        <v>19</v>
      </c>
      <c r="B172" s="8">
        <v>174</v>
      </c>
      <c r="C172" s="8" t="s">
        <v>19</v>
      </c>
      <c r="D172" s="8">
        <v>340</v>
      </c>
      <c r="E172" s="8" t="s">
        <v>20</v>
      </c>
      <c r="F172" s="8">
        <v>484</v>
      </c>
      <c r="G172" s="8" t="s">
        <v>21</v>
      </c>
      <c r="H172" s="8">
        <v>2646</v>
      </c>
      <c r="I172" s="8">
        <v>-2.27396843294217e-6</v>
      </c>
      <c r="J172" s="8">
        <v>-3.342737593574e-6</v>
      </c>
      <c r="K172" s="8">
        <v>1.78587006949713</v>
      </c>
      <c r="L172" s="10"/>
      <c r="M172" s="10">
        <f t="shared" si="10"/>
        <v>452.88</v>
      </c>
      <c r="N172" s="18">
        <f t="shared" si="11"/>
        <v>278.88</v>
      </c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5"/>
      <c r="AM172" s="15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5"/>
      <c r="AZ172" s="15"/>
      <c r="BA172" s="16"/>
      <c r="BB172" s="16"/>
      <c r="BC172" s="16"/>
      <c r="BD172" s="16"/>
      <c r="BE172" s="16"/>
      <c r="BF172" s="16"/>
      <c r="BG172" s="16"/>
      <c r="BH172" s="16"/>
      <c r="BI172" s="16"/>
      <c r="BJ172" s="16"/>
      <c r="BK172" s="16"/>
      <c r="BL172" s="15"/>
      <c r="BM172" s="15"/>
      <c r="BN172" s="21"/>
      <c r="BO172" s="16"/>
      <c r="BP172" s="16"/>
      <c r="BQ172" s="16"/>
      <c r="BR172" s="16"/>
      <c r="BS172" s="16"/>
      <c r="BT172" s="16"/>
      <c r="BU172" s="8"/>
      <c r="BV172" s="8"/>
      <c r="BW172" s="8"/>
      <c r="BX172" s="8"/>
      <c r="BY172" s="25"/>
      <c r="BZ172" s="25"/>
      <c r="CA172" s="25"/>
      <c r="CB172" s="25"/>
      <c r="CC172" s="25"/>
      <c r="CD172" s="25"/>
      <c r="CE172" s="25"/>
      <c r="CF172" s="25"/>
      <c r="CG172" s="25"/>
      <c r="CH172" s="25"/>
      <c r="CI172" s="25"/>
      <c r="CJ172" s="25"/>
      <c r="CK172" s="25"/>
      <c r="CL172" s="25"/>
      <c r="CM172" s="25"/>
      <c r="CN172" s="25"/>
      <c r="CO172" s="25"/>
      <c r="CP172" s="25"/>
      <c r="CQ172" s="25"/>
      <c r="CR172" s="25"/>
      <c r="CS172" s="25"/>
      <c r="CT172" s="25"/>
      <c r="CU172" s="25"/>
      <c r="CV172" s="25"/>
      <c r="CW172" s="25"/>
      <c r="CX172" s="25"/>
      <c r="CY172" s="25"/>
      <c r="CZ172" s="25"/>
    </row>
    <row r="173" spans="1:104">
      <c r="A173" s="8" t="s">
        <v>19</v>
      </c>
      <c r="B173" s="8">
        <v>174</v>
      </c>
      <c r="C173" s="8" t="s">
        <v>19</v>
      </c>
      <c r="D173" s="8">
        <v>340</v>
      </c>
      <c r="E173" s="8" t="s">
        <v>20</v>
      </c>
      <c r="F173" s="8">
        <v>529</v>
      </c>
      <c r="G173" s="8" t="s">
        <v>21</v>
      </c>
      <c r="H173" s="8">
        <v>2904</v>
      </c>
      <c r="I173" s="8">
        <v>-6.8545466759131e-7</v>
      </c>
      <c r="J173" s="8">
        <v>-1.44519064610036e-6</v>
      </c>
      <c r="K173" s="8">
        <v>1.64187449937837</v>
      </c>
      <c r="L173" s="10"/>
      <c r="M173" s="10">
        <f t="shared" si="10"/>
        <v>496</v>
      </c>
      <c r="N173" s="18">
        <f t="shared" si="11"/>
        <v>322</v>
      </c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5"/>
      <c r="AM173" s="15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5"/>
      <c r="AZ173" s="15"/>
      <c r="BA173" s="16"/>
      <c r="BB173" s="16"/>
      <c r="BC173" s="16"/>
      <c r="BD173" s="16"/>
      <c r="BE173" s="16"/>
      <c r="BF173" s="16"/>
      <c r="BG173" s="16"/>
      <c r="BH173" s="16"/>
      <c r="BI173" s="16"/>
      <c r="BJ173" s="16"/>
      <c r="BK173" s="16"/>
      <c r="BL173" s="15"/>
      <c r="BM173" s="15"/>
      <c r="BN173" s="21"/>
      <c r="BO173" s="16"/>
      <c r="BP173" s="16"/>
      <c r="BQ173" s="16"/>
      <c r="BR173" s="16"/>
      <c r="BS173" s="16"/>
      <c r="BT173" s="16"/>
      <c r="BU173" s="8"/>
      <c r="BV173" s="8"/>
      <c r="BW173" s="8"/>
      <c r="BX173" s="8"/>
      <c r="BY173" s="25"/>
      <c r="BZ173" s="25"/>
      <c r="CA173" s="25"/>
      <c r="CB173" s="25"/>
      <c r="CC173" s="25"/>
      <c r="CD173" s="25"/>
      <c r="CE173" s="25"/>
      <c r="CF173" s="25"/>
      <c r="CG173" s="25"/>
      <c r="CH173" s="25"/>
      <c r="CI173" s="25"/>
      <c r="CJ173" s="25"/>
      <c r="CK173" s="25"/>
      <c r="CL173" s="25"/>
      <c r="CM173" s="25"/>
      <c r="CN173" s="25"/>
      <c r="CO173" s="25"/>
      <c r="CP173" s="25"/>
      <c r="CQ173" s="25"/>
      <c r="CR173" s="25"/>
      <c r="CS173" s="25"/>
      <c r="CT173" s="25"/>
      <c r="CU173" s="25"/>
      <c r="CV173" s="25"/>
      <c r="CW173" s="25"/>
      <c r="CX173" s="25"/>
      <c r="CY173" s="25"/>
      <c r="CZ173" s="25"/>
    </row>
    <row r="174" spans="1:104">
      <c r="A174" s="8" t="s">
        <v>19</v>
      </c>
      <c r="B174" s="8">
        <v>174</v>
      </c>
      <c r="C174" s="8" t="s">
        <v>19</v>
      </c>
      <c r="D174" s="8">
        <v>340</v>
      </c>
      <c r="E174" s="8" t="s">
        <v>20</v>
      </c>
      <c r="F174" s="8">
        <v>576</v>
      </c>
      <c r="G174" s="8" t="s">
        <v>21</v>
      </c>
      <c r="H174" s="8">
        <v>3174</v>
      </c>
      <c r="I174" s="8">
        <v>-6.43043750708733e-7</v>
      </c>
      <c r="J174" s="8">
        <v>-1.01210743311475e-6</v>
      </c>
      <c r="K174" s="8">
        <v>1.54463845025387</v>
      </c>
      <c r="L174" s="10"/>
      <c r="M174" s="10">
        <f t="shared" si="10"/>
        <v>541.08</v>
      </c>
      <c r="N174" s="18">
        <f t="shared" si="11"/>
        <v>367.08</v>
      </c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5"/>
      <c r="AM174" s="15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5"/>
      <c r="AZ174" s="15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  <c r="BK174" s="16"/>
      <c r="BL174" s="15"/>
      <c r="BM174" s="15"/>
      <c r="BN174" s="21"/>
      <c r="BO174" s="16"/>
      <c r="BP174" s="16"/>
      <c r="BQ174" s="16"/>
      <c r="BR174" s="16"/>
      <c r="BS174" s="16"/>
      <c r="BT174" s="16"/>
      <c r="BU174" s="8"/>
      <c r="BV174" s="8"/>
      <c r="BW174" s="8"/>
      <c r="BX174" s="8"/>
      <c r="BY174" s="25"/>
      <c r="BZ174" s="25"/>
      <c r="CA174" s="25"/>
      <c r="CB174" s="25"/>
      <c r="CC174" s="25"/>
      <c r="CD174" s="25"/>
      <c r="CE174" s="25"/>
      <c r="CF174" s="25"/>
      <c r="CG174" s="25"/>
      <c r="CH174" s="25"/>
      <c r="CI174" s="25"/>
      <c r="CJ174" s="25"/>
      <c r="CK174" s="25"/>
      <c r="CL174" s="25"/>
      <c r="CM174" s="25"/>
      <c r="CN174" s="25"/>
      <c r="CO174" s="25"/>
      <c r="CP174" s="25"/>
      <c r="CQ174" s="25"/>
      <c r="CR174" s="25"/>
      <c r="CS174" s="25"/>
      <c r="CT174" s="25"/>
      <c r="CU174" s="25"/>
      <c r="CV174" s="25"/>
      <c r="CW174" s="25"/>
      <c r="CX174" s="25"/>
      <c r="CY174" s="25"/>
      <c r="CZ174" s="25"/>
    </row>
    <row r="175" spans="1:104">
      <c r="A175" s="8" t="s">
        <v>19</v>
      </c>
      <c r="B175" s="8">
        <v>174</v>
      </c>
      <c r="C175" s="8" t="s">
        <v>19</v>
      </c>
      <c r="D175" s="8">
        <v>340</v>
      </c>
      <c r="E175" s="8" t="s">
        <v>20</v>
      </c>
      <c r="F175" s="8">
        <v>625</v>
      </c>
      <c r="G175" s="8" t="s">
        <v>21</v>
      </c>
      <c r="H175" s="8">
        <v>3456</v>
      </c>
      <c r="I175" s="8">
        <v>-7.23589104586657e-7</v>
      </c>
      <c r="J175" s="8">
        <v>-9.72573745323062e-7</v>
      </c>
      <c r="K175" s="8">
        <v>1.51509675323042</v>
      </c>
      <c r="L175" s="10"/>
      <c r="M175" s="10">
        <f t="shared" si="10"/>
        <v>588.12</v>
      </c>
      <c r="N175" s="18">
        <f t="shared" si="11"/>
        <v>414.12</v>
      </c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5"/>
      <c r="AM175" s="15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5"/>
      <c r="AZ175" s="15"/>
      <c r="BA175" s="16"/>
      <c r="BB175" s="16"/>
      <c r="BC175" s="16"/>
      <c r="BD175" s="16"/>
      <c r="BE175" s="16"/>
      <c r="BF175" s="16"/>
      <c r="BG175" s="16"/>
      <c r="BH175" s="16"/>
      <c r="BI175" s="16"/>
      <c r="BJ175" s="16"/>
      <c r="BK175" s="16"/>
      <c r="BL175" s="15"/>
      <c r="BM175" s="15"/>
      <c r="BN175" s="21"/>
      <c r="BO175" s="16"/>
      <c r="BP175" s="16"/>
      <c r="BQ175" s="16"/>
      <c r="BR175" s="16"/>
      <c r="BS175" s="16"/>
      <c r="BT175" s="16"/>
      <c r="BU175" s="8"/>
      <c r="BV175" s="8"/>
      <c r="BW175" s="8"/>
      <c r="BX175" s="8"/>
      <c r="BY175" s="25"/>
      <c r="BZ175" s="25"/>
      <c r="CA175" s="25"/>
      <c r="CB175" s="25"/>
      <c r="CC175" s="25"/>
      <c r="CD175" s="25"/>
      <c r="CE175" s="25"/>
      <c r="CF175" s="25"/>
      <c r="CG175" s="25"/>
      <c r="CH175" s="25"/>
      <c r="CI175" s="25"/>
      <c r="CJ175" s="25"/>
      <c r="CK175" s="25"/>
      <c r="CL175" s="25"/>
      <c r="CM175" s="25"/>
      <c r="CN175" s="25"/>
      <c r="CO175" s="25"/>
      <c r="CP175" s="25"/>
      <c r="CQ175" s="25"/>
      <c r="CR175" s="25"/>
      <c r="CS175" s="25"/>
      <c r="CT175" s="25"/>
      <c r="CU175" s="25"/>
      <c r="CV175" s="25"/>
      <c r="CW175" s="25"/>
      <c r="CX175" s="25"/>
      <c r="CY175" s="25"/>
      <c r="CZ175" s="25"/>
    </row>
    <row r="176" spans="1:104">
      <c r="A176" s="8" t="s">
        <v>19</v>
      </c>
      <c r="B176" s="8">
        <v>174</v>
      </c>
      <c r="C176" s="8" t="s">
        <v>19</v>
      </c>
      <c r="D176" s="8">
        <v>340</v>
      </c>
      <c r="E176" s="8" t="s">
        <v>20</v>
      </c>
      <c r="F176" s="8">
        <v>676</v>
      </c>
      <c r="G176" s="8" t="s">
        <v>21</v>
      </c>
      <c r="H176" s="8">
        <v>3750</v>
      </c>
      <c r="I176" s="8">
        <v>-5.3685446224709e-7</v>
      </c>
      <c r="J176" s="8">
        <v>-7.22651697460624e-7</v>
      </c>
      <c r="K176" s="8">
        <v>1.44657252422448</v>
      </c>
      <c r="L176" s="10"/>
      <c r="M176" s="10">
        <f t="shared" si="10"/>
        <v>637.12</v>
      </c>
      <c r="N176" s="18">
        <f t="shared" si="11"/>
        <v>463.12</v>
      </c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5"/>
      <c r="AM176" s="15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5"/>
      <c r="AZ176" s="15"/>
      <c r="BA176" s="16"/>
      <c r="BB176" s="16"/>
      <c r="BC176" s="16"/>
      <c r="BD176" s="16"/>
      <c r="BE176" s="16"/>
      <c r="BF176" s="16"/>
      <c r="BG176" s="16"/>
      <c r="BH176" s="16"/>
      <c r="BI176" s="16"/>
      <c r="BJ176" s="16"/>
      <c r="BK176" s="16"/>
      <c r="BL176" s="15"/>
      <c r="BM176" s="15"/>
      <c r="BN176" s="21"/>
      <c r="BO176" s="16"/>
      <c r="BP176" s="16"/>
      <c r="BQ176" s="16"/>
      <c r="BR176" s="16"/>
      <c r="BS176" s="16"/>
      <c r="BT176" s="16"/>
      <c r="BU176" s="8"/>
      <c r="BV176" s="8"/>
      <c r="BW176" s="8"/>
      <c r="BX176" s="8"/>
      <c r="BY176" s="25"/>
      <c r="BZ176" s="25"/>
      <c r="CA176" s="25"/>
      <c r="CB176" s="25"/>
      <c r="CC176" s="25"/>
      <c r="CD176" s="25"/>
      <c r="CE176" s="25"/>
      <c r="CF176" s="25"/>
      <c r="CG176" s="25"/>
      <c r="CH176" s="25"/>
      <c r="CI176" s="25"/>
      <c r="CJ176" s="25"/>
      <c r="CK176" s="25"/>
      <c r="CL176" s="25"/>
      <c r="CM176" s="25"/>
      <c r="CN176" s="25"/>
      <c r="CO176" s="25"/>
      <c r="CP176" s="25"/>
      <c r="CQ176" s="25"/>
      <c r="CR176" s="25"/>
      <c r="CS176" s="25"/>
      <c r="CT176" s="25"/>
      <c r="CU176" s="25"/>
      <c r="CV176" s="25"/>
      <c r="CW176" s="25"/>
      <c r="CX176" s="25"/>
      <c r="CY176" s="25"/>
      <c r="CZ176" s="25"/>
    </row>
    <row r="177" spans="1:104">
      <c r="A177" s="8" t="s">
        <v>19</v>
      </c>
      <c r="B177" s="8">
        <v>174</v>
      </c>
      <c r="C177" s="8" t="s">
        <v>19</v>
      </c>
      <c r="D177" s="8">
        <v>340</v>
      </c>
      <c r="E177" s="8" t="s">
        <v>20</v>
      </c>
      <c r="F177" s="8">
        <v>729</v>
      </c>
      <c r="G177" s="8" t="s">
        <v>21</v>
      </c>
      <c r="H177" s="8">
        <v>4056</v>
      </c>
      <c r="I177" s="8">
        <v>-5.4483546693748e-7</v>
      </c>
      <c r="J177" s="8">
        <v>-6.61333753507805e-7</v>
      </c>
      <c r="K177" s="8">
        <v>1.40970804739973</v>
      </c>
      <c r="L177" s="10"/>
      <c r="M177" s="10">
        <f t="shared" si="10"/>
        <v>688.08</v>
      </c>
      <c r="N177" s="18">
        <f t="shared" si="11"/>
        <v>514.08</v>
      </c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5"/>
      <c r="AM177" s="15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5"/>
      <c r="AZ177" s="15"/>
      <c r="BA177" s="16"/>
      <c r="BB177" s="16"/>
      <c r="BC177" s="16"/>
      <c r="BD177" s="16"/>
      <c r="BE177" s="16"/>
      <c r="BF177" s="16"/>
      <c r="BG177" s="16"/>
      <c r="BH177" s="16"/>
      <c r="BI177" s="16"/>
      <c r="BJ177" s="16"/>
      <c r="BK177" s="16"/>
      <c r="BL177" s="15"/>
      <c r="BM177" s="15"/>
      <c r="BN177" s="21"/>
      <c r="BO177" s="16"/>
      <c r="BP177" s="16"/>
      <c r="BQ177" s="16"/>
      <c r="BR177" s="16"/>
      <c r="BS177" s="16"/>
      <c r="BT177" s="16"/>
      <c r="BU177" s="8"/>
      <c r="BV177" s="8"/>
      <c r="BW177" s="8"/>
      <c r="BX177" s="8"/>
      <c r="BY177" s="25"/>
      <c r="BZ177" s="25"/>
      <c r="CA177" s="25"/>
      <c r="CB177" s="25"/>
      <c r="CC177" s="25"/>
      <c r="CD177" s="25"/>
      <c r="CE177" s="25"/>
      <c r="CF177" s="25"/>
      <c r="CG177" s="25"/>
      <c r="CH177" s="25"/>
      <c r="CI177" s="25"/>
      <c r="CJ177" s="25"/>
      <c r="CK177" s="25"/>
      <c r="CL177" s="25"/>
      <c r="CM177" s="25"/>
      <c r="CN177" s="25"/>
      <c r="CO177" s="25"/>
      <c r="CP177" s="25"/>
      <c r="CQ177" s="25"/>
      <c r="CR177" s="25"/>
      <c r="CS177" s="25"/>
      <c r="CT177" s="25"/>
      <c r="CU177" s="25"/>
      <c r="CV177" s="25"/>
      <c r="CW177" s="25"/>
      <c r="CX177" s="25"/>
      <c r="CY177" s="25"/>
      <c r="CZ177" s="25"/>
    </row>
    <row r="178" spans="1:104">
      <c r="A178" s="8" t="s">
        <v>19</v>
      </c>
      <c r="B178" s="8">
        <v>174</v>
      </c>
      <c r="C178" s="8" t="s">
        <v>19</v>
      </c>
      <c r="D178" s="8">
        <v>340</v>
      </c>
      <c r="E178" s="8" t="s">
        <v>20</v>
      </c>
      <c r="F178" s="8">
        <v>784</v>
      </c>
      <c r="G178" s="8" t="s">
        <v>21</v>
      </c>
      <c r="H178" s="8">
        <v>4374</v>
      </c>
      <c r="I178" s="8">
        <v>-5.38063748323184e-7</v>
      </c>
      <c r="J178" s="8">
        <v>-5.97672433856058e-7</v>
      </c>
      <c r="K178" s="8">
        <v>1.37009775431702</v>
      </c>
      <c r="L178" s="10"/>
      <c r="M178" s="10">
        <f t="shared" si="10"/>
        <v>744.855</v>
      </c>
      <c r="N178" s="18">
        <f t="shared" si="11"/>
        <v>570.855</v>
      </c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5"/>
      <c r="AM178" s="15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5"/>
      <c r="AZ178" s="15"/>
      <c r="BA178" s="16"/>
      <c r="BB178" s="16"/>
      <c r="BC178" s="16"/>
      <c r="BD178" s="16"/>
      <c r="BE178" s="16"/>
      <c r="BF178" s="16"/>
      <c r="BG178" s="16"/>
      <c r="BH178" s="16"/>
      <c r="BI178" s="16"/>
      <c r="BJ178" s="16"/>
      <c r="BK178" s="16"/>
      <c r="BL178" s="15"/>
      <c r="BM178" s="15"/>
      <c r="BN178" s="21"/>
      <c r="BO178" s="16"/>
      <c r="BP178" s="16"/>
      <c r="BQ178" s="16"/>
      <c r="BR178" s="16"/>
      <c r="BS178" s="16"/>
      <c r="BT178" s="16"/>
      <c r="BU178" s="8"/>
      <c r="BV178" s="8"/>
      <c r="BW178" s="8"/>
      <c r="BX178" s="8"/>
      <c r="BY178" s="25"/>
      <c r="BZ178" s="25"/>
      <c r="CA178" s="25"/>
      <c r="CB178" s="25"/>
      <c r="CC178" s="25"/>
      <c r="CD178" s="25"/>
      <c r="CE178" s="25"/>
      <c r="CF178" s="25"/>
      <c r="CG178" s="25"/>
      <c r="CH178" s="25"/>
      <c r="CI178" s="25"/>
      <c r="CJ178" s="25"/>
      <c r="CK178" s="25"/>
      <c r="CL178" s="25"/>
      <c r="CM178" s="25"/>
      <c r="CN178" s="25"/>
      <c r="CO178" s="25"/>
      <c r="CP178" s="25"/>
      <c r="CQ178" s="25"/>
      <c r="CR178" s="25"/>
      <c r="CS178" s="25"/>
      <c r="CT178" s="25"/>
      <c r="CU178" s="25"/>
      <c r="CV178" s="25"/>
      <c r="CW178" s="25"/>
      <c r="CX178" s="25"/>
      <c r="CY178" s="25"/>
      <c r="CZ178" s="25"/>
    </row>
    <row r="179" spans="1:104">
      <c r="A179" s="8" t="s">
        <v>19</v>
      </c>
      <c r="B179" s="8">
        <v>174</v>
      </c>
      <c r="C179" s="8" t="s">
        <v>19</v>
      </c>
      <c r="D179" s="8">
        <v>340</v>
      </c>
      <c r="E179" s="8" t="s">
        <v>20</v>
      </c>
      <c r="F179" s="8">
        <v>841</v>
      </c>
      <c r="G179" s="8" t="s">
        <v>21</v>
      </c>
      <c r="H179" s="8">
        <v>4704</v>
      </c>
      <c r="I179" s="8">
        <v>-4.87439495907152e-7</v>
      </c>
      <c r="J179" s="8">
        <v>-5.39708682654172e-7</v>
      </c>
      <c r="K179" s="8">
        <v>1.3467448916034</v>
      </c>
      <c r="L179" s="10"/>
      <c r="M179" s="10">
        <f t="shared" si="10"/>
        <v>799.875</v>
      </c>
      <c r="N179" s="18">
        <f t="shared" si="11"/>
        <v>625.875</v>
      </c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5"/>
      <c r="AM179" s="15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5"/>
      <c r="AZ179" s="15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/>
      <c r="BK179" s="16"/>
      <c r="BL179" s="15"/>
      <c r="BM179" s="15"/>
      <c r="BN179" s="21"/>
      <c r="BO179" s="16"/>
      <c r="BP179" s="16"/>
      <c r="BQ179" s="16"/>
      <c r="BR179" s="16"/>
      <c r="BS179" s="16"/>
      <c r="BT179" s="16"/>
      <c r="BU179" s="8"/>
      <c r="BV179" s="8"/>
      <c r="BW179" s="8"/>
      <c r="BX179" s="8"/>
      <c r="BY179" s="25"/>
      <c r="BZ179" s="25"/>
      <c r="CA179" s="25"/>
      <c r="CB179" s="25"/>
      <c r="CC179" s="25"/>
      <c r="CD179" s="25"/>
      <c r="CE179" s="25"/>
      <c r="CF179" s="25"/>
      <c r="CG179" s="25"/>
      <c r="CH179" s="25"/>
      <c r="CI179" s="25"/>
      <c r="CJ179" s="25"/>
      <c r="CK179" s="25"/>
      <c r="CL179" s="25"/>
      <c r="CM179" s="25"/>
      <c r="CN179" s="25"/>
      <c r="CO179" s="25"/>
      <c r="CP179" s="25"/>
      <c r="CQ179" s="25"/>
      <c r="CR179" s="25"/>
      <c r="CS179" s="25"/>
      <c r="CT179" s="25"/>
      <c r="CU179" s="25"/>
      <c r="CV179" s="25"/>
      <c r="CW179" s="25"/>
      <c r="CX179" s="25"/>
      <c r="CY179" s="25"/>
      <c r="CZ179" s="25"/>
    </row>
    <row r="180" spans="1:104">
      <c r="A180" s="8" t="s">
        <v>19</v>
      </c>
      <c r="B180" s="8">
        <v>174</v>
      </c>
      <c r="C180" s="8" t="s">
        <v>19</v>
      </c>
      <c r="D180" s="8">
        <v>340</v>
      </c>
      <c r="E180" s="8" t="s">
        <v>20</v>
      </c>
      <c r="F180" s="8">
        <v>900</v>
      </c>
      <c r="G180" s="8" t="s">
        <v>21</v>
      </c>
      <c r="H180" s="8">
        <v>5046</v>
      </c>
      <c r="I180" s="8">
        <v>-4.57648814164458e-7</v>
      </c>
      <c r="J180" s="8">
        <v>-5.13836445495087e-7</v>
      </c>
      <c r="K180" s="8">
        <v>1.33839711814462</v>
      </c>
      <c r="L180" s="10"/>
      <c r="M180" s="10">
        <f t="shared" si="10"/>
        <v>856.855</v>
      </c>
      <c r="N180" s="18">
        <f t="shared" si="11"/>
        <v>682.855</v>
      </c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5"/>
      <c r="AM180" s="15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5"/>
      <c r="AZ180" s="15"/>
      <c r="BA180" s="16"/>
      <c r="BB180" s="16"/>
      <c r="BC180" s="16"/>
      <c r="BD180" s="16"/>
      <c r="BE180" s="16"/>
      <c r="BF180" s="16"/>
      <c r="BG180" s="16"/>
      <c r="BH180" s="16"/>
      <c r="BI180" s="16"/>
      <c r="BJ180" s="16"/>
      <c r="BK180" s="16"/>
      <c r="BL180" s="15"/>
      <c r="BM180" s="15"/>
      <c r="BN180" s="21"/>
      <c r="BO180" s="16"/>
      <c r="BP180" s="16"/>
      <c r="BQ180" s="16"/>
      <c r="BR180" s="16"/>
      <c r="BS180" s="16"/>
      <c r="BT180" s="16"/>
      <c r="BU180" s="8"/>
      <c r="BV180" s="8"/>
      <c r="BW180" s="8"/>
      <c r="BX180" s="8"/>
      <c r="BY180" s="25"/>
      <c r="BZ180" s="25"/>
      <c r="CA180" s="25"/>
      <c r="CB180" s="25"/>
      <c r="CC180" s="25"/>
      <c r="CD180" s="25"/>
      <c r="CE180" s="25"/>
      <c r="CF180" s="25"/>
      <c r="CG180" s="25"/>
      <c r="CH180" s="25"/>
      <c r="CI180" s="25"/>
      <c r="CJ180" s="25"/>
      <c r="CK180" s="25"/>
      <c r="CL180" s="25"/>
      <c r="CM180" s="25"/>
      <c r="CN180" s="25"/>
      <c r="CO180" s="25"/>
      <c r="CP180" s="25"/>
      <c r="CQ180" s="25"/>
      <c r="CR180" s="25"/>
      <c r="CS180" s="25"/>
      <c r="CT180" s="25"/>
      <c r="CU180" s="25"/>
      <c r="CV180" s="25"/>
      <c r="CW180" s="25"/>
      <c r="CX180" s="25"/>
      <c r="CY180" s="25"/>
      <c r="CZ180" s="25"/>
    </row>
    <row r="181" spans="1:104">
      <c r="A181" s="8" t="s">
        <v>19</v>
      </c>
      <c r="B181" s="8">
        <v>174</v>
      </c>
      <c r="C181" s="8" t="s">
        <v>19</v>
      </c>
      <c r="D181" s="8">
        <v>340</v>
      </c>
      <c r="E181" s="8" t="s">
        <v>20</v>
      </c>
      <c r="F181" s="8">
        <v>961</v>
      </c>
      <c r="G181" s="8" t="s">
        <v>21</v>
      </c>
      <c r="H181" s="8">
        <v>5400</v>
      </c>
      <c r="I181" s="8">
        <v>-4.08725034986529e-7</v>
      </c>
      <c r="J181" s="8">
        <v>-4.6503240128409e-7</v>
      </c>
      <c r="K181" s="8">
        <v>1.32005504780253</v>
      </c>
      <c r="L181" s="10"/>
      <c r="M181" s="10">
        <f t="shared" si="10"/>
        <v>915.795</v>
      </c>
      <c r="N181" s="18">
        <f t="shared" si="11"/>
        <v>741.795</v>
      </c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5"/>
      <c r="AM181" s="15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5"/>
      <c r="AZ181" s="15"/>
      <c r="BA181" s="16"/>
      <c r="BB181" s="16"/>
      <c r="BC181" s="16"/>
      <c r="BD181" s="16"/>
      <c r="BE181" s="16"/>
      <c r="BF181" s="16"/>
      <c r="BG181" s="16"/>
      <c r="BH181" s="16"/>
      <c r="BI181" s="16"/>
      <c r="BJ181" s="16"/>
      <c r="BK181" s="16"/>
      <c r="BL181" s="15"/>
      <c r="BM181" s="15"/>
      <c r="BN181" s="21"/>
      <c r="BO181" s="16"/>
      <c r="BP181" s="16"/>
      <c r="BQ181" s="16"/>
      <c r="BR181" s="16"/>
      <c r="BS181" s="16"/>
      <c r="BT181" s="16"/>
      <c r="BU181" s="8"/>
      <c r="BV181" s="8"/>
      <c r="BW181" s="8"/>
      <c r="BX181" s="8"/>
      <c r="BY181" s="25"/>
      <c r="BZ181" s="25"/>
      <c r="CA181" s="25"/>
      <c r="CB181" s="25"/>
      <c r="CC181" s="25"/>
      <c r="CD181" s="25"/>
      <c r="CE181" s="25"/>
      <c r="CF181" s="25"/>
      <c r="CG181" s="25"/>
      <c r="CH181" s="25"/>
      <c r="CI181" s="25"/>
      <c r="CJ181" s="25"/>
      <c r="CK181" s="25"/>
      <c r="CL181" s="25"/>
      <c r="CM181" s="25"/>
      <c r="CN181" s="25"/>
      <c r="CO181" s="25"/>
      <c r="CP181" s="25"/>
      <c r="CQ181" s="25"/>
      <c r="CR181" s="25"/>
      <c r="CS181" s="25"/>
      <c r="CT181" s="25"/>
      <c r="CU181" s="25"/>
      <c r="CV181" s="25"/>
      <c r="CW181" s="25"/>
      <c r="CX181" s="25"/>
      <c r="CY181" s="25"/>
      <c r="CZ181" s="25"/>
    </row>
    <row r="182" spans="1:104">
      <c r="A182" s="8" t="s">
        <v>19</v>
      </c>
      <c r="B182" s="8">
        <v>174</v>
      </c>
      <c r="C182" s="8" t="s">
        <v>19</v>
      </c>
      <c r="D182" s="8">
        <v>340</v>
      </c>
      <c r="E182" s="8" t="s">
        <v>20</v>
      </c>
      <c r="F182" s="8">
        <v>1024</v>
      </c>
      <c r="G182" s="8" t="s">
        <v>21</v>
      </c>
      <c r="H182" s="8">
        <v>5766</v>
      </c>
      <c r="I182" s="8">
        <v>-4.13680057867955e-7</v>
      </c>
      <c r="J182" s="8">
        <v>-4.59045802413121e-7</v>
      </c>
      <c r="K182" s="8">
        <v>1.31168394877457</v>
      </c>
      <c r="L182" s="10"/>
      <c r="M182" s="10">
        <f t="shared" si="10"/>
        <v>976.695</v>
      </c>
      <c r="N182" s="18">
        <f t="shared" si="11"/>
        <v>802.695</v>
      </c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5"/>
      <c r="AM182" s="15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5"/>
      <c r="AZ182" s="15"/>
      <c r="BA182" s="16"/>
      <c r="BB182" s="16"/>
      <c r="BC182" s="16"/>
      <c r="BD182" s="16"/>
      <c r="BE182" s="16"/>
      <c r="BF182" s="16"/>
      <c r="BG182" s="16"/>
      <c r="BH182" s="16"/>
      <c r="BI182" s="16"/>
      <c r="BJ182" s="16"/>
      <c r="BK182" s="16"/>
      <c r="BL182" s="15"/>
      <c r="BM182" s="15"/>
      <c r="BN182" s="21"/>
      <c r="BO182" s="16"/>
      <c r="BP182" s="16"/>
      <c r="BQ182" s="16"/>
      <c r="BR182" s="16"/>
      <c r="BS182" s="16"/>
      <c r="BT182" s="16"/>
      <c r="BU182" s="8"/>
      <c r="BV182" s="8"/>
      <c r="BW182" s="8"/>
      <c r="BX182" s="8"/>
      <c r="BY182" s="25"/>
      <c r="BZ182" s="25"/>
      <c r="CA182" s="25"/>
      <c r="CB182" s="25"/>
      <c r="CC182" s="25"/>
      <c r="CD182" s="25"/>
      <c r="CE182" s="25"/>
      <c r="CF182" s="25"/>
      <c r="CG182" s="25"/>
      <c r="CH182" s="25"/>
      <c r="CI182" s="25"/>
      <c r="CJ182" s="25"/>
      <c r="CK182" s="25"/>
      <c r="CL182" s="25"/>
      <c r="CM182" s="25"/>
      <c r="CN182" s="25"/>
      <c r="CO182" s="25"/>
      <c r="CP182" s="25"/>
      <c r="CQ182" s="25"/>
      <c r="CR182" s="25"/>
      <c r="CS182" s="25"/>
      <c r="CT182" s="25"/>
      <c r="CU182" s="25"/>
      <c r="CV182" s="25"/>
      <c r="CW182" s="25"/>
      <c r="CX182" s="25"/>
      <c r="CY182" s="25"/>
      <c r="CZ182" s="25"/>
    </row>
    <row r="183" spans="1:104">
      <c r="A183" s="8" t="s">
        <v>19</v>
      </c>
      <c r="B183" s="8">
        <v>174</v>
      </c>
      <c r="C183" s="8" t="s">
        <v>19</v>
      </c>
      <c r="D183" s="8">
        <v>340</v>
      </c>
      <c r="E183" s="8" t="s">
        <v>20</v>
      </c>
      <c r="F183" s="8">
        <v>1089</v>
      </c>
      <c r="G183" s="8" t="s">
        <v>21</v>
      </c>
      <c r="H183" s="8">
        <v>6144</v>
      </c>
      <c r="I183" s="8">
        <v>-3.82347905841292e-7</v>
      </c>
      <c r="J183" s="8">
        <v>-4.16075111152121e-7</v>
      </c>
      <c r="K183" s="8">
        <v>1.28559981365406</v>
      </c>
      <c r="L183" s="10"/>
      <c r="M183" s="10">
        <f t="shared" si="10"/>
        <v>1039.555</v>
      </c>
      <c r="N183" s="18">
        <f t="shared" si="11"/>
        <v>865.555</v>
      </c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5"/>
      <c r="AM183" s="15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5"/>
      <c r="AZ183" s="15"/>
      <c r="BA183" s="16"/>
      <c r="BB183" s="16"/>
      <c r="BC183" s="16"/>
      <c r="BD183" s="16"/>
      <c r="BE183" s="16"/>
      <c r="BF183" s="16"/>
      <c r="BG183" s="16"/>
      <c r="BH183" s="16"/>
      <c r="BI183" s="16"/>
      <c r="BJ183" s="16"/>
      <c r="BK183" s="16"/>
      <c r="BL183" s="15"/>
      <c r="BM183" s="15"/>
      <c r="BN183" s="21"/>
      <c r="BO183" s="16"/>
      <c r="BP183" s="16"/>
      <c r="BQ183" s="16"/>
      <c r="BR183" s="16"/>
      <c r="BS183" s="16"/>
      <c r="BT183" s="16"/>
      <c r="BU183" s="8"/>
      <c r="BV183" s="8"/>
      <c r="BW183" s="8"/>
      <c r="BX183" s="8"/>
      <c r="BY183" s="25"/>
      <c r="BZ183" s="25"/>
      <c r="CA183" s="25"/>
      <c r="CB183" s="25"/>
      <c r="CC183" s="25"/>
      <c r="CD183" s="25"/>
      <c r="CE183" s="25"/>
      <c r="CF183" s="25"/>
      <c r="CG183" s="25"/>
      <c r="CH183" s="25"/>
      <c r="CI183" s="25"/>
      <c r="CJ183" s="25"/>
      <c r="CK183" s="25"/>
      <c r="CL183" s="25"/>
      <c r="CM183" s="25"/>
      <c r="CN183" s="25"/>
      <c r="CO183" s="25"/>
      <c r="CP183" s="25"/>
      <c r="CQ183" s="25"/>
      <c r="CR183" s="25"/>
      <c r="CS183" s="25"/>
      <c r="CT183" s="25"/>
      <c r="CU183" s="25"/>
      <c r="CV183" s="25"/>
      <c r="CW183" s="25"/>
      <c r="CX183" s="25"/>
      <c r="CY183" s="25"/>
      <c r="CZ183" s="25"/>
    </row>
    <row r="184" ht="23.25" spans="1:104">
      <c r="A184" s="7" t="s">
        <v>27</v>
      </c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10"/>
      <c r="M184" s="10"/>
      <c r="N184" s="18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5"/>
      <c r="AM184" s="15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5"/>
      <c r="AZ184" s="15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15"/>
      <c r="BM184" s="15"/>
      <c r="BN184" s="21"/>
      <c r="BO184" s="16"/>
      <c r="BP184" s="16"/>
      <c r="BQ184" s="16"/>
      <c r="BR184" s="16"/>
      <c r="BS184" s="16"/>
      <c r="BT184" s="16"/>
      <c r="BU184" s="8"/>
      <c r="BV184" s="8"/>
      <c r="BW184" s="8"/>
      <c r="BX184" s="8"/>
      <c r="BY184" s="25"/>
      <c r="BZ184" s="25"/>
      <c r="CA184" s="25"/>
      <c r="CB184" s="25"/>
      <c r="CC184" s="25"/>
      <c r="CD184" s="25"/>
      <c r="CE184" s="25"/>
      <c r="CF184" s="25"/>
      <c r="CG184" s="25"/>
      <c r="CH184" s="25"/>
      <c r="CI184" s="25"/>
      <c r="CJ184" s="25"/>
      <c r="CK184" s="25"/>
      <c r="CL184" s="25"/>
      <c r="CM184" s="25"/>
      <c r="CN184" s="25"/>
      <c r="CO184" s="25"/>
      <c r="CP184" s="25"/>
      <c r="CQ184" s="25"/>
      <c r="CR184" s="25"/>
      <c r="CS184" s="25"/>
      <c r="CT184" s="25"/>
      <c r="CU184" s="25"/>
      <c r="CV184" s="25"/>
      <c r="CW184" s="25"/>
      <c r="CX184" s="25"/>
      <c r="CY184" s="25"/>
      <c r="CZ184" s="25"/>
    </row>
    <row r="185" ht="23.25" spans="1:104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10"/>
      <c r="M185" s="10"/>
      <c r="N185" s="18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5"/>
      <c r="AM185" s="15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5"/>
      <c r="AZ185" s="15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15"/>
      <c r="BM185" s="15"/>
      <c r="BN185" s="21"/>
      <c r="BO185" s="14"/>
      <c r="BP185" s="14"/>
      <c r="BQ185" s="14"/>
      <c r="BR185" s="14"/>
      <c r="BS185" s="14"/>
      <c r="BT185" s="14"/>
      <c r="BU185" s="24"/>
      <c r="BV185" s="24"/>
      <c r="BW185" s="24"/>
      <c r="BX185" s="24"/>
      <c r="BY185" s="25"/>
      <c r="BZ185" s="25"/>
      <c r="CA185" s="25"/>
      <c r="CB185" s="25"/>
      <c r="CC185" s="25"/>
      <c r="CD185" s="25"/>
      <c r="CE185" s="25"/>
      <c r="CF185" s="25"/>
      <c r="CG185" s="25"/>
      <c r="CH185" s="25"/>
      <c r="CI185" s="25"/>
      <c r="CJ185" s="25"/>
      <c r="CK185" s="25"/>
      <c r="CL185" s="25"/>
      <c r="CM185" s="25"/>
      <c r="CN185" s="25"/>
      <c r="CO185" s="25"/>
      <c r="CP185" s="25"/>
      <c r="CQ185" s="25"/>
      <c r="CR185" s="25"/>
      <c r="CS185" s="25"/>
      <c r="CT185" s="25"/>
      <c r="CU185" s="25"/>
      <c r="CV185" s="25"/>
      <c r="CW185" s="25"/>
      <c r="CX185" s="25"/>
      <c r="CY185" s="25"/>
      <c r="CZ185" s="25"/>
    </row>
    <row r="186" ht="23.25" spans="1:104">
      <c r="A186" s="8" t="s">
        <v>7</v>
      </c>
      <c r="B186" s="8" t="s">
        <v>8</v>
      </c>
      <c r="C186" s="8" t="s">
        <v>9</v>
      </c>
      <c r="D186" s="8" t="s">
        <v>10</v>
      </c>
      <c r="E186" s="8" t="s">
        <v>11</v>
      </c>
      <c r="F186" s="8" t="s">
        <v>12</v>
      </c>
      <c r="G186" s="8" t="s">
        <v>13</v>
      </c>
      <c r="H186" s="8" t="s">
        <v>14</v>
      </c>
      <c r="I186" s="8" t="s">
        <v>15</v>
      </c>
      <c r="J186" s="8" t="s">
        <v>16</v>
      </c>
      <c r="K186" s="8" t="s">
        <v>17</v>
      </c>
      <c r="L186" s="10"/>
      <c r="M186" s="10"/>
      <c r="N186" s="18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5"/>
      <c r="AM186" s="15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5"/>
      <c r="AZ186" s="15"/>
      <c r="BA186" s="16"/>
      <c r="BB186" s="16"/>
      <c r="BC186" s="16"/>
      <c r="BD186" s="16"/>
      <c r="BE186" s="16"/>
      <c r="BF186" s="16"/>
      <c r="BG186" s="16"/>
      <c r="BH186" s="16"/>
      <c r="BI186" s="16"/>
      <c r="BJ186" s="16"/>
      <c r="BK186" s="16"/>
      <c r="BL186" s="15"/>
      <c r="BM186" s="15"/>
      <c r="BN186" s="21"/>
      <c r="BO186" s="14"/>
      <c r="BP186" s="14"/>
      <c r="BQ186" s="14"/>
      <c r="BR186" s="14"/>
      <c r="BS186" s="14"/>
      <c r="BT186" s="14"/>
      <c r="BU186" s="24"/>
      <c r="BV186" s="24"/>
      <c r="BW186" s="24"/>
      <c r="BX186" s="24"/>
      <c r="BY186" s="25"/>
      <c r="BZ186" s="25"/>
      <c r="CA186" s="25"/>
      <c r="CB186" s="25"/>
      <c r="CC186" s="25"/>
      <c r="CD186" s="25"/>
      <c r="CE186" s="25"/>
      <c r="CF186" s="25"/>
      <c r="CG186" s="25"/>
      <c r="CH186" s="25"/>
      <c r="CI186" s="25"/>
      <c r="CJ186" s="25"/>
      <c r="CK186" s="25"/>
      <c r="CL186" s="25"/>
      <c r="CM186" s="25"/>
      <c r="CN186" s="25"/>
      <c r="CO186" s="25"/>
      <c r="CP186" s="25"/>
      <c r="CQ186" s="25"/>
      <c r="CR186" s="25"/>
      <c r="CS186" s="25"/>
      <c r="CT186" s="25"/>
      <c r="CU186" s="25"/>
      <c r="CV186" s="25"/>
      <c r="CW186" s="25"/>
      <c r="CX186" s="25"/>
      <c r="CY186" s="25"/>
      <c r="CZ186" s="25"/>
    </row>
    <row r="187" ht="23.25" spans="1:104">
      <c r="A187" s="8" t="s">
        <v>19</v>
      </c>
      <c r="B187" s="8">
        <v>209</v>
      </c>
      <c r="C187" s="8" t="s">
        <v>19</v>
      </c>
      <c r="D187" s="8">
        <v>340</v>
      </c>
      <c r="E187" s="8" t="s">
        <v>20</v>
      </c>
      <c r="F187" s="8">
        <v>169</v>
      </c>
      <c r="G187" s="8" t="s">
        <v>21</v>
      </c>
      <c r="H187" s="8">
        <v>864</v>
      </c>
      <c r="I187" s="8">
        <v>-1.41326210343018</v>
      </c>
      <c r="J187" s="8">
        <v>-1.60218150437499</v>
      </c>
      <c r="K187" s="8">
        <v>-0.626292208626613</v>
      </c>
      <c r="L187" s="10"/>
      <c r="M187" s="10">
        <f t="shared" ref="M187:M207" si="12">(FLOOR(((SQRT(1+8*F187)-3))/2,0.1)*(FLOOR(((SQRT(1+8*F187)-3))/2,0.1)+1))/2</f>
        <v>149.52</v>
      </c>
      <c r="N187" s="18">
        <f t="shared" ref="N187:N207" si="13">ABS(B187-M187)</f>
        <v>59.48</v>
      </c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5"/>
      <c r="AM187" s="15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5"/>
      <c r="AZ187" s="15"/>
      <c r="BA187" s="16"/>
      <c r="BB187" s="16"/>
      <c r="BC187" s="16"/>
      <c r="BD187" s="16"/>
      <c r="BE187" s="16"/>
      <c r="BF187" s="16"/>
      <c r="BG187" s="16"/>
      <c r="BH187" s="16"/>
      <c r="BI187" s="16"/>
      <c r="BJ187" s="16"/>
      <c r="BK187" s="16"/>
      <c r="BL187" s="15"/>
      <c r="BM187" s="15"/>
      <c r="BN187" s="21"/>
      <c r="BO187" s="15"/>
      <c r="BP187" s="15"/>
      <c r="BQ187" s="15"/>
      <c r="BR187" s="15"/>
      <c r="BS187" s="15"/>
      <c r="BT187" s="15"/>
      <c r="BU187" s="10"/>
      <c r="BV187" s="10"/>
      <c r="BW187" s="10"/>
      <c r="BX187" s="10"/>
      <c r="BY187" s="25"/>
      <c r="BZ187" s="25"/>
      <c r="CA187" s="25"/>
      <c r="CB187" s="25"/>
      <c r="CC187" s="25"/>
      <c r="CD187" s="25"/>
      <c r="CE187" s="25"/>
      <c r="CF187" s="25"/>
      <c r="CG187" s="25"/>
      <c r="CH187" s="25"/>
      <c r="CI187" s="25"/>
      <c r="CJ187" s="25"/>
      <c r="CK187" s="25"/>
      <c r="CL187" s="25"/>
      <c r="CM187" s="25"/>
      <c r="CN187" s="25"/>
      <c r="CO187" s="25"/>
      <c r="CP187" s="25"/>
      <c r="CQ187" s="25"/>
      <c r="CR187" s="25"/>
      <c r="CS187" s="25"/>
      <c r="CT187" s="25"/>
      <c r="CU187" s="25"/>
      <c r="CV187" s="25"/>
      <c r="CW187" s="25"/>
      <c r="CX187" s="25"/>
      <c r="CY187" s="25"/>
      <c r="CZ187" s="25"/>
    </row>
    <row r="188" ht="23.25" spans="1:104">
      <c r="A188" s="8" t="s">
        <v>19</v>
      </c>
      <c r="B188" s="8">
        <v>209</v>
      </c>
      <c r="C188" s="8" t="s">
        <v>19</v>
      </c>
      <c r="D188" s="8">
        <v>340</v>
      </c>
      <c r="E188" s="8" t="s">
        <v>20</v>
      </c>
      <c r="F188" s="8">
        <v>196</v>
      </c>
      <c r="G188" s="8" t="s">
        <v>21</v>
      </c>
      <c r="H188" s="8">
        <v>1014</v>
      </c>
      <c r="I188" s="8">
        <v>-1.8331478751134</v>
      </c>
      <c r="J188" s="8">
        <v>-1.79679915989784</v>
      </c>
      <c r="K188" s="8">
        <v>-0.78610237522632</v>
      </c>
      <c r="L188" s="10"/>
      <c r="M188" s="10">
        <f t="shared" si="12"/>
        <v>176.595</v>
      </c>
      <c r="N188" s="18">
        <f t="shared" si="13"/>
        <v>32.405</v>
      </c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6"/>
      <c r="BB188" s="16"/>
      <c r="BC188" s="16"/>
      <c r="BD188" s="16"/>
      <c r="BE188" s="16"/>
      <c r="BF188" s="16"/>
      <c r="BG188" s="16"/>
      <c r="BH188" s="16"/>
      <c r="BI188" s="16"/>
      <c r="BJ188" s="16"/>
      <c r="BK188" s="16"/>
      <c r="BL188" s="15"/>
      <c r="BM188" s="15"/>
      <c r="BN188" s="21"/>
      <c r="BO188" s="16"/>
      <c r="BP188" s="16"/>
      <c r="BQ188" s="16"/>
      <c r="BR188" s="16"/>
      <c r="BS188" s="16"/>
      <c r="BT188" s="16"/>
      <c r="BU188" s="8"/>
      <c r="BV188" s="8"/>
      <c r="BW188" s="8"/>
      <c r="BX188" s="8"/>
      <c r="BY188" s="25"/>
      <c r="BZ188" s="25"/>
      <c r="CA188" s="25"/>
      <c r="CB188" s="25"/>
      <c r="CC188" s="25"/>
      <c r="CD188" s="25"/>
      <c r="CE188" s="25"/>
      <c r="CF188" s="25"/>
      <c r="CG188" s="25"/>
      <c r="CH188" s="25"/>
      <c r="CI188" s="25"/>
      <c r="CJ188" s="25"/>
      <c r="CK188" s="25"/>
      <c r="CL188" s="25"/>
      <c r="CM188" s="25"/>
      <c r="CN188" s="25"/>
      <c r="CO188" s="25"/>
      <c r="CP188" s="25"/>
      <c r="CQ188" s="25"/>
      <c r="CR188" s="25"/>
      <c r="CS188" s="25"/>
      <c r="CT188" s="25"/>
      <c r="CU188" s="25"/>
      <c r="CV188" s="25"/>
      <c r="CW188" s="25"/>
      <c r="CX188" s="25"/>
      <c r="CY188" s="25"/>
      <c r="CZ188" s="25"/>
    </row>
    <row r="189" ht="23.25" spans="1:104">
      <c r="A189" s="9" t="s">
        <v>19</v>
      </c>
      <c r="B189" s="9">
        <v>209</v>
      </c>
      <c r="C189" s="9" t="s">
        <v>19</v>
      </c>
      <c r="D189" s="9">
        <v>340</v>
      </c>
      <c r="E189" s="9" t="s">
        <v>20</v>
      </c>
      <c r="F189" s="9">
        <v>225</v>
      </c>
      <c r="G189" s="9" t="s">
        <v>21</v>
      </c>
      <c r="H189" s="9">
        <v>1176</v>
      </c>
      <c r="I189" s="9">
        <v>-2.21930784747527</v>
      </c>
      <c r="J189" s="9">
        <v>-1.83029740414539</v>
      </c>
      <c r="K189" s="9">
        <v>-0.626939807079849</v>
      </c>
      <c r="L189" s="11"/>
      <c r="M189" s="11">
        <f t="shared" si="12"/>
        <v>203.895</v>
      </c>
      <c r="N189" s="18">
        <f t="shared" si="13"/>
        <v>5.10499999999993</v>
      </c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5"/>
      <c r="AM189" s="15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5"/>
      <c r="AZ189" s="15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2"/>
      <c r="BM189" s="22"/>
      <c r="BN189" s="21"/>
      <c r="BO189" s="16"/>
      <c r="BP189" s="16"/>
      <c r="BQ189" s="16"/>
      <c r="BR189" s="16"/>
      <c r="BS189" s="16"/>
      <c r="BT189" s="16"/>
      <c r="BU189" s="8"/>
      <c r="BV189" s="8"/>
      <c r="BW189" s="8"/>
      <c r="BX189" s="8"/>
      <c r="BY189" s="25"/>
      <c r="BZ189" s="25"/>
      <c r="CA189" s="25"/>
      <c r="CB189" s="25"/>
      <c r="CC189" s="25"/>
      <c r="CD189" s="25"/>
      <c r="CE189" s="25"/>
      <c r="CF189" s="25"/>
      <c r="CG189" s="25"/>
      <c r="CH189" s="25"/>
      <c r="CI189" s="25"/>
      <c r="CJ189" s="25"/>
      <c r="CK189" s="25"/>
      <c r="CL189" s="25"/>
      <c r="CM189" s="25"/>
      <c r="CN189" s="25"/>
      <c r="CO189" s="25"/>
      <c r="CP189" s="25"/>
      <c r="CQ189" s="25"/>
      <c r="CR189" s="25"/>
      <c r="CS189" s="25"/>
      <c r="CT189" s="25"/>
      <c r="CU189" s="25"/>
      <c r="CV189" s="25"/>
      <c r="CW189" s="25"/>
      <c r="CX189" s="25"/>
      <c r="CY189" s="25"/>
      <c r="CZ189" s="25"/>
    </row>
    <row r="190" spans="1:104">
      <c r="A190" s="8" t="s">
        <v>19</v>
      </c>
      <c r="B190" s="8">
        <v>209</v>
      </c>
      <c r="C190" s="8" t="s">
        <v>19</v>
      </c>
      <c r="D190" s="8">
        <v>340</v>
      </c>
      <c r="E190" s="8" t="s">
        <v>20</v>
      </c>
      <c r="F190" s="8">
        <v>256</v>
      </c>
      <c r="G190" s="8" t="s">
        <v>21</v>
      </c>
      <c r="H190" s="8">
        <v>1350</v>
      </c>
      <c r="I190" s="8">
        <v>-1.97733364921789</v>
      </c>
      <c r="J190" s="8">
        <v>-1.63913838283181</v>
      </c>
      <c r="K190" s="8">
        <v>-0.157993738941334</v>
      </c>
      <c r="L190" s="10"/>
      <c r="M190" s="10">
        <f t="shared" si="12"/>
        <v>233.155</v>
      </c>
      <c r="N190" s="18">
        <f t="shared" si="13"/>
        <v>24.155</v>
      </c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5"/>
      <c r="AZ190" s="15"/>
      <c r="BA190" s="16"/>
      <c r="BB190" s="16"/>
      <c r="BC190" s="16"/>
      <c r="BD190" s="16"/>
      <c r="BE190" s="16"/>
      <c r="BF190" s="16"/>
      <c r="BG190" s="16"/>
      <c r="BH190" s="16"/>
      <c r="BI190" s="16"/>
      <c r="BJ190" s="16"/>
      <c r="BK190" s="16"/>
      <c r="BL190" s="15"/>
      <c r="BM190" s="15"/>
      <c r="BN190" s="21"/>
      <c r="BO190" s="16"/>
      <c r="BP190" s="16"/>
      <c r="BQ190" s="16"/>
      <c r="BR190" s="16"/>
      <c r="BS190" s="16"/>
      <c r="BT190" s="16"/>
      <c r="BU190" s="8"/>
      <c r="BV190" s="8"/>
      <c r="BW190" s="8"/>
      <c r="BX190" s="8"/>
      <c r="BY190" s="25"/>
      <c r="BZ190" s="25"/>
      <c r="CA190" s="25"/>
      <c r="CB190" s="25"/>
      <c r="CC190" s="25"/>
      <c r="CD190" s="25"/>
      <c r="CE190" s="25"/>
      <c r="CF190" s="25"/>
      <c r="CG190" s="25"/>
      <c r="CH190" s="25"/>
      <c r="CI190" s="25"/>
      <c r="CJ190" s="25"/>
      <c r="CK190" s="25"/>
      <c r="CL190" s="25"/>
      <c r="CM190" s="25"/>
      <c r="CN190" s="25"/>
      <c r="CO190" s="25"/>
      <c r="CP190" s="25"/>
      <c r="CQ190" s="25"/>
      <c r="CR190" s="25"/>
      <c r="CS190" s="25"/>
      <c r="CT190" s="25"/>
      <c r="CU190" s="25"/>
      <c r="CV190" s="25"/>
      <c r="CW190" s="25"/>
      <c r="CX190" s="25"/>
      <c r="CY190" s="25"/>
      <c r="CZ190" s="25"/>
    </row>
    <row r="191" spans="1:104">
      <c r="A191" s="8" t="s">
        <v>19</v>
      </c>
      <c r="B191" s="8">
        <v>209</v>
      </c>
      <c r="C191" s="8" t="s">
        <v>19</v>
      </c>
      <c r="D191" s="8">
        <v>340</v>
      </c>
      <c r="E191" s="8" t="s">
        <v>20</v>
      </c>
      <c r="F191" s="8">
        <v>289</v>
      </c>
      <c r="G191" s="8" t="s">
        <v>21</v>
      </c>
      <c r="H191" s="8">
        <v>1536</v>
      </c>
      <c r="I191" s="8">
        <v>-1.67419219759333</v>
      </c>
      <c r="J191" s="8">
        <v>-1.44346706264201</v>
      </c>
      <c r="K191" s="8">
        <v>0.185399864539167</v>
      </c>
      <c r="L191" s="10"/>
      <c r="M191" s="10">
        <f t="shared" si="12"/>
        <v>264.375</v>
      </c>
      <c r="N191" s="18">
        <f t="shared" si="13"/>
        <v>55.375</v>
      </c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5"/>
      <c r="AM191" s="15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5"/>
      <c r="AZ191" s="15"/>
      <c r="BA191" s="16"/>
      <c r="BB191" s="16"/>
      <c r="BC191" s="16"/>
      <c r="BD191" s="16"/>
      <c r="BE191" s="16"/>
      <c r="BF191" s="16"/>
      <c r="BG191" s="16"/>
      <c r="BH191" s="16"/>
      <c r="BI191" s="16"/>
      <c r="BJ191" s="16"/>
      <c r="BK191" s="16"/>
      <c r="BL191" s="15"/>
      <c r="BM191" s="15"/>
      <c r="BN191" s="21"/>
      <c r="BO191" s="16"/>
      <c r="BP191" s="16"/>
      <c r="BQ191" s="16"/>
      <c r="BR191" s="16"/>
      <c r="BS191" s="16"/>
      <c r="BT191" s="16"/>
      <c r="BU191" s="8"/>
      <c r="BV191" s="8"/>
      <c r="BW191" s="8"/>
      <c r="BX191" s="8"/>
      <c r="BY191" s="25"/>
      <c r="BZ191" s="25"/>
      <c r="CA191" s="25"/>
      <c r="CB191" s="25"/>
      <c r="CC191" s="25"/>
      <c r="CD191" s="25"/>
      <c r="CE191" s="25"/>
      <c r="CF191" s="25"/>
      <c r="CG191" s="25"/>
      <c r="CH191" s="25"/>
      <c r="CI191" s="25"/>
      <c r="CJ191" s="25"/>
      <c r="CK191" s="25"/>
      <c r="CL191" s="25"/>
      <c r="CM191" s="25"/>
      <c r="CN191" s="25"/>
      <c r="CO191" s="25"/>
      <c r="CP191" s="25"/>
      <c r="CQ191" s="25"/>
      <c r="CR191" s="25"/>
      <c r="CS191" s="25"/>
      <c r="CT191" s="25"/>
      <c r="CU191" s="25"/>
      <c r="CV191" s="25"/>
      <c r="CW191" s="25"/>
      <c r="CX191" s="25"/>
      <c r="CY191" s="25"/>
      <c r="CZ191" s="25"/>
    </row>
    <row r="192" spans="1:104">
      <c r="A192" s="8" t="s">
        <v>19</v>
      </c>
      <c r="B192" s="8">
        <v>209</v>
      </c>
      <c r="C192" s="8" t="s">
        <v>19</v>
      </c>
      <c r="D192" s="8">
        <v>340</v>
      </c>
      <c r="E192" s="8" t="s">
        <v>20</v>
      </c>
      <c r="F192" s="8">
        <v>324</v>
      </c>
      <c r="G192" s="8" t="s">
        <v>21</v>
      </c>
      <c r="H192" s="8">
        <v>1734</v>
      </c>
      <c r="I192" s="8">
        <v>-1.34693280205797</v>
      </c>
      <c r="J192" s="8">
        <v>-1.21843461034132</v>
      </c>
      <c r="K192" s="8">
        <v>0.495617494840632</v>
      </c>
      <c r="L192" s="10"/>
      <c r="M192" s="10">
        <f t="shared" si="12"/>
        <v>297.555</v>
      </c>
      <c r="N192" s="18">
        <f t="shared" si="13"/>
        <v>88.5550000000001</v>
      </c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5"/>
      <c r="AM192" s="15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5"/>
      <c r="AZ192" s="15"/>
      <c r="BA192" s="16"/>
      <c r="BB192" s="16"/>
      <c r="BC192" s="16"/>
      <c r="BD192" s="16"/>
      <c r="BE192" s="16"/>
      <c r="BF192" s="16"/>
      <c r="BG192" s="16"/>
      <c r="BH192" s="16"/>
      <c r="BI192" s="16"/>
      <c r="BJ192" s="16"/>
      <c r="BK192" s="16"/>
      <c r="BL192" s="15"/>
      <c r="BM192" s="15"/>
      <c r="BN192" s="21"/>
      <c r="BO192" s="16"/>
      <c r="BP192" s="16"/>
      <c r="BQ192" s="16"/>
      <c r="BR192" s="16"/>
      <c r="BS192" s="16"/>
      <c r="BT192" s="16"/>
      <c r="BU192" s="8"/>
      <c r="BV192" s="8"/>
      <c r="BW192" s="8"/>
      <c r="BX192" s="8"/>
      <c r="BY192" s="25"/>
      <c r="BZ192" s="25"/>
      <c r="CA192" s="25"/>
      <c r="CB192" s="25"/>
      <c r="CC192" s="25"/>
      <c r="CD192" s="25"/>
      <c r="CE192" s="25"/>
      <c r="CF192" s="25"/>
      <c r="CG192" s="25"/>
      <c r="CH192" s="25"/>
      <c r="CI192" s="25"/>
      <c r="CJ192" s="25"/>
      <c r="CK192" s="25"/>
      <c r="CL192" s="25"/>
      <c r="CM192" s="25"/>
      <c r="CN192" s="25"/>
      <c r="CO192" s="25"/>
      <c r="CP192" s="25"/>
      <c r="CQ192" s="25"/>
      <c r="CR192" s="25"/>
      <c r="CS192" s="25"/>
      <c r="CT192" s="25"/>
      <c r="CU192" s="25"/>
      <c r="CV192" s="25"/>
      <c r="CW192" s="25"/>
      <c r="CX192" s="25"/>
      <c r="CY192" s="25"/>
      <c r="CZ192" s="25"/>
    </row>
    <row r="193" spans="1:104">
      <c r="A193" s="8" t="s">
        <v>19</v>
      </c>
      <c r="B193" s="8">
        <v>209</v>
      </c>
      <c r="C193" s="8" t="s">
        <v>19</v>
      </c>
      <c r="D193" s="8">
        <v>340</v>
      </c>
      <c r="E193" s="8" t="s">
        <v>20</v>
      </c>
      <c r="F193" s="8">
        <v>361</v>
      </c>
      <c r="G193" s="8" t="s">
        <v>21</v>
      </c>
      <c r="H193" s="8">
        <v>1944</v>
      </c>
      <c r="I193" s="8">
        <v>-0.86524328813954</v>
      </c>
      <c r="J193" s="8">
        <v>-0.774603991263072</v>
      </c>
      <c r="K193" s="8">
        <v>1.24810870803382</v>
      </c>
      <c r="L193" s="10"/>
      <c r="M193" s="10">
        <f t="shared" si="12"/>
        <v>332.695</v>
      </c>
      <c r="N193" s="18">
        <f t="shared" si="13"/>
        <v>123.695</v>
      </c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5"/>
      <c r="AM193" s="15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5"/>
      <c r="AZ193" s="15"/>
      <c r="BA193" s="16"/>
      <c r="BB193" s="16"/>
      <c r="BC193" s="16"/>
      <c r="BD193" s="16"/>
      <c r="BE193" s="16"/>
      <c r="BF193" s="16"/>
      <c r="BG193" s="16"/>
      <c r="BH193" s="16"/>
      <c r="BI193" s="16"/>
      <c r="BJ193" s="16"/>
      <c r="BK193" s="16"/>
      <c r="BL193" s="15"/>
      <c r="BM193" s="15"/>
      <c r="BN193" s="21"/>
      <c r="BO193" s="16"/>
      <c r="BP193" s="16"/>
      <c r="BQ193" s="16"/>
      <c r="BR193" s="16"/>
      <c r="BS193" s="16"/>
      <c r="BT193" s="16"/>
      <c r="BU193" s="8"/>
      <c r="BV193" s="8"/>
      <c r="BW193" s="8"/>
      <c r="BX193" s="8"/>
      <c r="BY193" s="25"/>
      <c r="BZ193" s="25"/>
      <c r="CA193" s="25"/>
      <c r="CB193" s="25"/>
      <c r="CC193" s="25"/>
      <c r="CD193" s="25"/>
      <c r="CE193" s="25"/>
      <c r="CF193" s="25"/>
      <c r="CG193" s="25"/>
      <c r="CH193" s="25"/>
      <c r="CI193" s="25"/>
      <c r="CJ193" s="25"/>
      <c r="CK193" s="25"/>
      <c r="CL193" s="25"/>
      <c r="CM193" s="25"/>
      <c r="CN193" s="25"/>
      <c r="CO193" s="25"/>
      <c r="CP193" s="25"/>
      <c r="CQ193" s="25"/>
      <c r="CR193" s="25"/>
      <c r="CS193" s="25"/>
      <c r="CT193" s="25"/>
      <c r="CU193" s="25"/>
      <c r="CV193" s="25"/>
      <c r="CW193" s="25"/>
      <c r="CX193" s="25"/>
      <c r="CY193" s="25"/>
      <c r="CZ193" s="25"/>
    </row>
    <row r="194" spans="1:104">
      <c r="A194" s="8" t="s">
        <v>19</v>
      </c>
      <c r="B194" s="8">
        <v>209</v>
      </c>
      <c r="C194" s="8" t="s">
        <v>19</v>
      </c>
      <c r="D194" s="8">
        <v>340</v>
      </c>
      <c r="E194" s="8" t="s">
        <v>20</v>
      </c>
      <c r="F194" s="8">
        <v>400</v>
      </c>
      <c r="G194" s="8" t="s">
        <v>21</v>
      </c>
      <c r="H194" s="8">
        <v>2166</v>
      </c>
      <c r="I194" s="8">
        <v>-0.33144635809595</v>
      </c>
      <c r="J194" s="8">
        <v>-0.296614932258358</v>
      </c>
      <c r="K194" s="8">
        <v>1.90525103493027</v>
      </c>
      <c r="L194" s="10"/>
      <c r="M194" s="10">
        <f t="shared" si="12"/>
        <v>369.795</v>
      </c>
      <c r="N194" s="18">
        <f t="shared" si="13"/>
        <v>160.795</v>
      </c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5"/>
      <c r="AM194" s="15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5"/>
      <c r="AZ194" s="15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  <c r="BK194" s="16"/>
      <c r="BL194" s="15"/>
      <c r="BM194" s="15"/>
      <c r="BN194" s="21"/>
      <c r="BO194" s="16"/>
      <c r="BP194" s="16"/>
      <c r="BQ194" s="16"/>
      <c r="BR194" s="16"/>
      <c r="BS194" s="16"/>
      <c r="BT194" s="16"/>
      <c r="BU194" s="8"/>
      <c r="BV194" s="8"/>
      <c r="BW194" s="8"/>
      <c r="BX194" s="8"/>
      <c r="BY194" s="25"/>
      <c r="BZ194" s="25"/>
      <c r="CA194" s="25"/>
      <c r="CB194" s="25"/>
      <c r="CC194" s="25"/>
      <c r="CD194" s="25"/>
      <c r="CE194" s="25"/>
      <c r="CF194" s="25"/>
      <c r="CG194" s="25"/>
      <c r="CH194" s="25"/>
      <c r="CI194" s="25"/>
      <c r="CJ194" s="25"/>
      <c r="CK194" s="25"/>
      <c r="CL194" s="25"/>
      <c r="CM194" s="25"/>
      <c r="CN194" s="25"/>
      <c r="CO194" s="25"/>
      <c r="CP194" s="25"/>
      <c r="CQ194" s="25"/>
      <c r="CR194" s="25"/>
      <c r="CS194" s="25"/>
      <c r="CT194" s="25"/>
      <c r="CU194" s="25"/>
      <c r="CV194" s="25"/>
      <c r="CW194" s="25"/>
      <c r="CX194" s="25"/>
      <c r="CY194" s="25"/>
      <c r="CZ194" s="25"/>
    </row>
    <row r="195" spans="1:104">
      <c r="A195" s="8" t="s">
        <v>19</v>
      </c>
      <c r="B195" s="8">
        <v>209</v>
      </c>
      <c r="C195" s="8" t="s">
        <v>19</v>
      </c>
      <c r="D195" s="8">
        <v>340</v>
      </c>
      <c r="E195" s="8" t="s">
        <v>20</v>
      </c>
      <c r="F195" s="8">
        <v>441</v>
      </c>
      <c r="G195" s="8" t="s">
        <v>21</v>
      </c>
      <c r="H195" s="8">
        <v>2400</v>
      </c>
      <c r="I195" s="8">
        <v>-0.00380661760805699</v>
      </c>
      <c r="J195" s="8">
        <v>-0.00315091760398658</v>
      </c>
      <c r="K195" s="8">
        <v>2.80099494062037</v>
      </c>
      <c r="L195" s="10"/>
      <c r="M195" s="10">
        <f t="shared" si="12"/>
        <v>411.72</v>
      </c>
      <c r="N195" s="18">
        <f t="shared" si="13"/>
        <v>202.72</v>
      </c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5"/>
      <c r="AM195" s="15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5"/>
      <c r="AZ195" s="15"/>
      <c r="BA195" s="16"/>
      <c r="BB195" s="16"/>
      <c r="BC195" s="16"/>
      <c r="BD195" s="16"/>
      <c r="BE195" s="16"/>
      <c r="BF195" s="16"/>
      <c r="BG195" s="16"/>
      <c r="BH195" s="16"/>
      <c r="BI195" s="16"/>
      <c r="BJ195" s="16"/>
      <c r="BK195" s="16"/>
      <c r="BL195" s="15"/>
      <c r="BM195" s="15"/>
      <c r="BN195" s="21"/>
      <c r="BO195" s="16"/>
      <c r="BP195" s="16"/>
      <c r="BQ195" s="16"/>
      <c r="BR195" s="16"/>
      <c r="BS195" s="16"/>
      <c r="BT195" s="16"/>
      <c r="BU195" s="8"/>
      <c r="BV195" s="8"/>
      <c r="BW195" s="8"/>
      <c r="BX195" s="8"/>
      <c r="BY195" s="25"/>
      <c r="BZ195" s="25"/>
      <c r="CA195" s="25"/>
      <c r="CB195" s="25"/>
      <c r="CC195" s="25"/>
      <c r="CD195" s="25"/>
      <c r="CE195" s="25"/>
      <c r="CF195" s="25"/>
      <c r="CG195" s="25"/>
      <c r="CH195" s="25"/>
      <c r="CI195" s="25"/>
      <c r="CJ195" s="25"/>
      <c r="CK195" s="25"/>
      <c r="CL195" s="25"/>
      <c r="CM195" s="25"/>
      <c r="CN195" s="25"/>
      <c r="CO195" s="25"/>
      <c r="CP195" s="25"/>
      <c r="CQ195" s="25"/>
      <c r="CR195" s="25"/>
      <c r="CS195" s="25"/>
      <c r="CT195" s="25"/>
      <c r="CU195" s="25"/>
      <c r="CV195" s="25"/>
      <c r="CW195" s="25"/>
      <c r="CX195" s="25"/>
      <c r="CY195" s="25"/>
      <c r="CZ195" s="25"/>
    </row>
    <row r="196" spans="1:104">
      <c r="A196" s="8" t="s">
        <v>19</v>
      </c>
      <c r="B196" s="8">
        <v>209</v>
      </c>
      <c r="C196" s="8" t="s">
        <v>19</v>
      </c>
      <c r="D196" s="8">
        <v>340</v>
      </c>
      <c r="E196" s="8" t="s">
        <v>20</v>
      </c>
      <c r="F196" s="8">
        <v>484</v>
      </c>
      <c r="G196" s="8" t="s">
        <v>21</v>
      </c>
      <c r="H196" s="8">
        <v>2646</v>
      </c>
      <c r="I196" s="8">
        <v>-2.0721041788605e-6</v>
      </c>
      <c r="J196" s="8">
        <v>-6.82093134000007e-6</v>
      </c>
      <c r="K196" s="8">
        <v>1.99518215229558</v>
      </c>
      <c r="L196" s="10"/>
      <c r="M196" s="10">
        <f t="shared" si="12"/>
        <v>452.88</v>
      </c>
      <c r="N196" s="18">
        <f t="shared" si="13"/>
        <v>243.88</v>
      </c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5"/>
      <c r="AM196" s="15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5"/>
      <c r="AZ196" s="15"/>
      <c r="BA196" s="16"/>
      <c r="BB196" s="16"/>
      <c r="BC196" s="16"/>
      <c r="BD196" s="16"/>
      <c r="BE196" s="16"/>
      <c r="BF196" s="16"/>
      <c r="BG196" s="16"/>
      <c r="BH196" s="16"/>
      <c r="BI196" s="16"/>
      <c r="BJ196" s="16"/>
      <c r="BK196" s="16"/>
      <c r="BL196" s="15"/>
      <c r="BM196" s="15"/>
      <c r="BN196" s="21"/>
      <c r="BO196" s="16"/>
      <c r="BP196" s="16"/>
      <c r="BQ196" s="16"/>
      <c r="BR196" s="16"/>
      <c r="BS196" s="16"/>
      <c r="BT196" s="16"/>
      <c r="BU196" s="8"/>
      <c r="BV196" s="8"/>
      <c r="BW196" s="8"/>
      <c r="BX196" s="8"/>
      <c r="BY196" s="25"/>
      <c r="BZ196" s="25"/>
      <c r="CA196" s="25"/>
      <c r="CB196" s="25"/>
      <c r="CC196" s="25"/>
      <c r="CD196" s="25"/>
      <c r="CE196" s="25"/>
      <c r="CF196" s="25"/>
      <c r="CG196" s="25"/>
      <c r="CH196" s="25"/>
      <c r="CI196" s="25"/>
      <c r="CJ196" s="25"/>
      <c r="CK196" s="25"/>
      <c r="CL196" s="25"/>
      <c r="CM196" s="25"/>
      <c r="CN196" s="25"/>
      <c r="CO196" s="25"/>
      <c r="CP196" s="25"/>
      <c r="CQ196" s="25"/>
      <c r="CR196" s="25"/>
      <c r="CS196" s="25"/>
      <c r="CT196" s="25"/>
      <c r="CU196" s="25"/>
      <c r="CV196" s="25"/>
      <c r="CW196" s="25"/>
      <c r="CX196" s="25"/>
      <c r="CY196" s="25"/>
      <c r="CZ196" s="25"/>
    </row>
    <row r="197" spans="1:104">
      <c r="A197" s="8" t="s">
        <v>19</v>
      </c>
      <c r="B197" s="8">
        <v>209</v>
      </c>
      <c r="C197" s="8" t="s">
        <v>19</v>
      </c>
      <c r="D197" s="8">
        <v>340</v>
      </c>
      <c r="E197" s="8" t="s">
        <v>20</v>
      </c>
      <c r="F197" s="8">
        <v>529</v>
      </c>
      <c r="G197" s="8" t="s">
        <v>21</v>
      </c>
      <c r="H197" s="8">
        <v>2904</v>
      </c>
      <c r="I197" s="8">
        <v>-7.78732427744072e-7</v>
      </c>
      <c r="J197" s="8">
        <v>-2.62651115399694e-6</v>
      </c>
      <c r="K197" s="8">
        <v>1.80595615403998</v>
      </c>
      <c r="L197" s="10"/>
      <c r="M197" s="10">
        <f t="shared" si="12"/>
        <v>496</v>
      </c>
      <c r="N197" s="18">
        <f t="shared" si="13"/>
        <v>287</v>
      </c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5"/>
      <c r="AM197" s="15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5"/>
      <c r="AZ197" s="15"/>
      <c r="BA197" s="16"/>
      <c r="BB197" s="16"/>
      <c r="BC197" s="16"/>
      <c r="BD197" s="16"/>
      <c r="BE197" s="16"/>
      <c r="BF197" s="16"/>
      <c r="BG197" s="16"/>
      <c r="BH197" s="16"/>
      <c r="BI197" s="16"/>
      <c r="BJ197" s="16"/>
      <c r="BK197" s="16"/>
      <c r="BL197" s="15"/>
      <c r="BM197" s="15"/>
      <c r="BN197" s="21"/>
      <c r="BO197" s="16"/>
      <c r="BP197" s="16"/>
      <c r="BQ197" s="16"/>
      <c r="BR197" s="16"/>
      <c r="BS197" s="16"/>
      <c r="BT197" s="16"/>
      <c r="BU197" s="8"/>
      <c r="BV197" s="8"/>
      <c r="BW197" s="8"/>
      <c r="BX197" s="8"/>
      <c r="BY197" s="25"/>
      <c r="BZ197" s="25"/>
      <c r="CA197" s="25"/>
      <c r="CB197" s="25"/>
      <c r="CC197" s="25"/>
      <c r="CD197" s="25"/>
      <c r="CE197" s="25"/>
      <c r="CF197" s="25"/>
      <c r="CG197" s="25"/>
      <c r="CH197" s="25"/>
      <c r="CI197" s="25"/>
      <c r="CJ197" s="25"/>
      <c r="CK197" s="25"/>
      <c r="CL197" s="25"/>
      <c r="CM197" s="25"/>
      <c r="CN197" s="25"/>
      <c r="CO197" s="25"/>
      <c r="CP197" s="25"/>
      <c r="CQ197" s="25"/>
      <c r="CR197" s="25"/>
      <c r="CS197" s="25"/>
      <c r="CT197" s="25"/>
      <c r="CU197" s="25"/>
      <c r="CV197" s="25"/>
      <c r="CW197" s="25"/>
      <c r="CX197" s="25"/>
      <c r="CY197" s="25"/>
      <c r="CZ197" s="25"/>
    </row>
    <row r="198" spans="1:104">
      <c r="A198" s="8" t="s">
        <v>19</v>
      </c>
      <c r="B198" s="8">
        <v>209</v>
      </c>
      <c r="C198" s="8" t="s">
        <v>19</v>
      </c>
      <c r="D198" s="8">
        <v>340</v>
      </c>
      <c r="E198" s="8" t="s">
        <v>20</v>
      </c>
      <c r="F198" s="8">
        <v>576</v>
      </c>
      <c r="G198" s="8" t="s">
        <v>21</v>
      </c>
      <c r="H198" s="8">
        <v>3174</v>
      </c>
      <c r="I198" s="8">
        <v>-1.85466051249349e-6</v>
      </c>
      <c r="J198" s="8">
        <v>-2.69892864625038e-6</v>
      </c>
      <c r="K198" s="8">
        <v>1.7390113646627</v>
      </c>
      <c r="L198" s="10"/>
      <c r="M198" s="10">
        <f t="shared" si="12"/>
        <v>541.08</v>
      </c>
      <c r="N198" s="18">
        <f t="shared" si="13"/>
        <v>332.08</v>
      </c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5"/>
      <c r="AM198" s="15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5"/>
      <c r="AZ198" s="15"/>
      <c r="BA198" s="16"/>
      <c r="BB198" s="16"/>
      <c r="BC198" s="16"/>
      <c r="BD198" s="16"/>
      <c r="BE198" s="16"/>
      <c r="BF198" s="16"/>
      <c r="BG198" s="16"/>
      <c r="BH198" s="16"/>
      <c r="BI198" s="16"/>
      <c r="BJ198" s="16"/>
      <c r="BK198" s="16"/>
      <c r="BL198" s="15"/>
      <c r="BM198" s="15"/>
      <c r="BN198" s="21"/>
      <c r="BO198" s="16"/>
      <c r="BP198" s="16"/>
      <c r="BQ198" s="16"/>
      <c r="BR198" s="16"/>
      <c r="BS198" s="16"/>
      <c r="BT198" s="16"/>
      <c r="BU198" s="8"/>
      <c r="BV198" s="8"/>
      <c r="BW198" s="8"/>
      <c r="BX198" s="8"/>
      <c r="BY198" s="25"/>
      <c r="BZ198" s="25"/>
      <c r="CA198" s="25"/>
      <c r="CB198" s="25"/>
      <c r="CC198" s="25"/>
      <c r="CD198" s="25"/>
      <c r="CE198" s="25"/>
      <c r="CF198" s="25"/>
      <c r="CG198" s="25"/>
      <c r="CH198" s="25"/>
      <c r="CI198" s="25"/>
      <c r="CJ198" s="25"/>
      <c r="CK198" s="25"/>
      <c r="CL198" s="25"/>
      <c r="CM198" s="25"/>
      <c r="CN198" s="25"/>
      <c r="CO198" s="25"/>
      <c r="CP198" s="25"/>
      <c r="CQ198" s="25"/>
      <c r="CR198" s="25"/>
      <c r="CS198" s="25"/>
      <c r="CT198" s="25"/>
      <c r="CU198" s="25"/>
      <c r="CV198" s="25"/>
      <c r="CW198" s="25"/>
      <c r="CX198" s="25"/>
      <c r="CY198" s="25"/>
      <c r="CZ198" s="25"/>
    </row>
    <row r="199" spans="1:104">
      <c r="A199" s="8" t="s">
        <v>19</v>
      </c>
      <c r="B199" s="8">
        <v>209</v>
      </c>
      <c r="C199" s="8" t="s">
        <v>19</v>
      </c>
      <c r="D199" s="8">
        <v>340</v>
      </c>
      <c r="E199" s="8" t="s">
        <v>20</v>
      </c>
      <c r="F199" s="8">
        <v>625</v>
      </c>
      <c r="G199" s="8" t="s">
        <v>21</v>
      </c>
      <c r="H199" s="8">
        <v>3456</v>
      </c>
      <c r="I199" s="8">
        <v>-6.51806445646144e-7</v>
      </c>
      <c r="J199" s="8">
        <v>-1.23435985261869e-6</v>
      </c>
      <c r="K199" s="8">
        <v>1.60301459338714</v>
      </c>
      <c r="L199" s="10"/>
      <c r="M199" s="10">
        <f t="shared" si="12"/>
        <v>588.12</v>
      </c>
      <c r="N199" s="18">
        <f t="shared" si="13"/>
        <v>379.12</v>
      </c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5"/>
      <c r="AM199" s="15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5"/>
      <c r="AZ199" s="15"/>
      <c r="BA199" s="16"/>
      <c r="BB199" s="16"/>
      <c r="BC199" s="16"/>
      <c r="BD199" s="16"/>
      <c r="BE199" s="16"/>
      <c r="BF199" s="16"/>
      <c r="BG199" s="16"/>
      <c r="BH199" s="16"/>
      <c r="BI199" s="16"/>
      <c r="BJ199" s="16"/>
      <c r="BK199" s="16"/>
      <c r="BL199" s="15"/>
      <c r="BM199" s="15"/>
      <c r="BN199" s="21"/>
      <c r="BO199" s="16"/>
      <c r="BP199" s="16"/>
      <c r="BQ199" s="16"/>
      <c r="BR199" s="16"/>
      <c r="BS199" s="16"/>
      <c r="BT199" s="16"/>
      <c r="BU199" s="8"/>
      <c r="BV199" s="8"/>
      <c r="BW199" s="8"/>
      <c r="BX199" s="8"/>
      <c r="BY199" s="25"/>
      <c r="BZ199" s="25"/>
      <c r="CA199" s="25"/>
      <c r="CB199" s="25"/>
      <c r="CC199" s="25"/>
      <c r="CD199" s="25"/>
      <c r="CE199" s="25"/>
      <c r="CF199" s="25"/>
      <c r="CG199" s="25"/>
      <c r="CH199" s="25"/>
      <c r="CI199" s="25"/>
      <c r="CJ199" s="25"/>
      <c r="CK199" s="25"/>
      <c r="CL199" s="25"/>
      <c r="CM199" s="25"/>
      <c r="CN199" s="25"/>
      <c r="CO199" s="25"/>
      <c r="CP199" s="25"/>
      <c r="CQ199" s="25"/>
      <c r="CR199" s="25"/>
      <c r="CS199" s="25"/>
      <c r="CT199" s="25"/>
      <c r="CU199" s="25"/>
      <c r="CV199" s="25"/>
      <c r="CW199" s="25"/>
      <c r="CX199" s="25"/>
      <c r="CY199" s="25"/>
      <c r="CZ199" s="25"/>
    </row>
    <row r="200" spans="1:104">
      <c r="A200" s="8" t="s">
        <v>19</v>
      </c>
      <c r="B200" s="8">
        <v>209</v>
      </c>
      <c r="C200" s="8" t="s">
        <v>19</v>
      </c>
      <c r="D200" s="8">
        <v>340</v>
      </c>
      <c r="E200" s="8" t="s">
        <v>20</v>
      </c>
      <c r="F200" s="8">
        <v>676</v>
      </c>
      <c r="G200" s="8" t="s">
        <v>21</v>
      </c>
      <c r="H200" s="8">
        <v>3750</v>
      </c>
      <c r="I200" s="8">
        <v>-1.14820871174024e-6</v>
      </c>
      <c r="J200" s="8">
        <v>-1.52947185101392e-6</v>
      </c>
      <c r="K200" s="8">
        <v>1.60362468066947</v>
      </c>
      <c r="L200" s="10"/>
      <c r="M200" s="10">
        <f t="shared" si="12"/>
        <v>637.12</v>
      </c>
      <c r="N200" s="18">
        <f t="shared" si="13"/>
        <v>428.12</v>
      </c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5"/>
      <c r="AM200" s="15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5"/>
      <c r="AZ200" s="15"/>
      <c r="BA200" s="16"/>
      <c r="BB200" s="16"/>
      <c r="BC200" s="16"/>
      <c r="BD200" s="16"/>
      <c r="BE200" s="16"/>
      <c r="BF200" s="16"/>
      <c r="BG200" s="16"/>
      <c r="BH200" s="16"/>
      <c r="BI200" s="16"/>
      <c r="BJ200" s="16"/>
      <c r="BK200" s="16"/>
      <c r="BL200" s="15"/>
      <c r="BM200" s="15"/>
      <c r="BN200" s="21"/>
      <c r="BO200" s="16"/>
      <c r="BP200" s="16"/>
      <c r="BQ200" s="16"/>
      <c r="BR200" s="16"/>
      <c r="BS200" s="16"/>
      <c r="BT200" s="16"/>
      <c r="BU200" s="8"/>
      <c r="BV200" s="8"/>
      <c r="BW200" s="8"/>
      <c r="BX200" s="8"/>
      <c r="BY200" s="25"/>
      <c r="BZ200" s="25"/>
      <c r="CA200" s="25"/>
      <c r="CB200" s="25"/>
      <c r="CC200" s="25"/>
      <c r="CD200" s="25"/>
      <c r="CE200" s="25"/>
      <c r="CF200" s="25"/>
      <c r="CG200" s="25"/>
      <c r="CH200" s="25"/>
      <c r="CI200" s="25"/>
      <c r="CJ200" s="25"/>
      <c r="CK200" s="25"/>
      <c r="CL200" s="25"/>
      <c r="CM200" s="25"/>
      <c r="CN200" s="25"/>
      <c r="CO200" s="25"/>
      <c r="CP200" s="25"/>
      <c r="CQ200" s="25"/>
      <c r="CR200" s="25"/>
      <c r="CS200" s="25"/>
      <c r="CT200" s="25"/>
      <c r="CU200" s="25"/>
      <c r="CV200" s="25"/>
      <c r="CW200" s="25"/>
      <c r="CX200" s="25"/>
      <c r="CY200" s="25"/>
      <c r="CZ200" s="25"/>
    </row>
    <row r="201" spans="1:104">
      <c r="A201" s="8" t="s">
        <v>19</v>
      </c>
      <c r="B201" s="8">
        <v>209</v>
      </c>
      <c r="C201" s="8" t="s">
        <v>19</v>
      </c>
      <c r="D201" s="8">
        <v>340</v>
      </c>
      <c r="E201" s="8" t="s">
        <v>20</v>
      </c>
      <c r="F201" s="8">
        <v>729</v>
      </c>
      <c r="G201" s="8" t="s">
        <v>21</v>
      </c>
      <c r="H201" s="8">
        <v>4056</v>
      </c>
      <c r="I201" s="8">
        <v>-5.23346374429996e-7</v>
      </c>
      <c r="J201" s="8">
        <v>-9.01114667592438e-7</v>
      </c>
      <c r="K201" s="8">
        <v>1.51767492037248</v>
      </c>
      <c r="L201" s="10"/>
      <c r="M201" s="10">
        <f t="shared" si="12"/>
        <v>688.08</v>
      </c>
      <c r="N201" s="18">
        <f t="shared" si="13"/>
        <v>479.08</v>
      </c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5"/>
      <c r="AM201" s="15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5"/>
      <c r="AZ201" s="15"/>
      <c r="BA201" s="16"/>
      <c r="BB201" s="16"/>
      <c r="BC201" s="16"/>
      <c r="BD201" s="16"/>
      <c r="BE201" s="16"/>
      <c r="BF201" s="16"/>
      <c r="BG201" s="16"/>
      <c r="BH201" s="16"/>
      <c r="BI201" s="16"/>
      <c r="BJ201" s="16"/>
      <c r="BK201" s="16"/>
      <c r="BL201" s="15"/>
      <c r="BM201" s="15"/>
      <c r="BN201" s="21"/>
      <c r="BO201" s="16"/>
      <c r="BP201" s="16"/>
      <c r="BQ201" s="16"/>
      <c r="BR201" s="16"/>
      <c r="BS201" s="16"/>
      <c r="BT201" s="16"/>
      <c r="BU201" s="8"/>
      <c r="BV201" s="8"/>
      <c r="BW201" s="8"/>
      <c r="BX201" s="8"/>
      <c r="BY201" s="25"/>
      <c r="BZ201" s="25"/>
      <c r="CA201" s="25"/>
      <c r="CB201" s="25"/>
      <c r="CC201" s="25"/>
      <c r="CD201" s="25"/>
      <c r="CE201" s="25"/>
      <c r="CF201" s="25"/>
      <c r="CG201" s="25"/>
      <c r="CH201" s="25"/>
      <c r="CI201" s="25"/>
      <c r="CJ201" s="25"/>
      <c r="CK201" s="25"/>
      <c r="CL201" s="25"/>
      <c r="CM201" s="25"/>
      <c r="CN201" s="25"/>
      <c r="CO201" s="25"/>
      <c r="CP201" s="25"/>
      <c r="CQ201" s="25"/>
      <c r="CR201" s="25"/>
      <c r="CS201" s="25"/>
      <c r="CT201" s="25"/>
      <c r="CU201" s="25"/>
      <c r="CV201" s="25"/>
      <c r="CW201" s="25"/>
      <c r="CX201" s="25"/>
      <c r="CY201" s="25"/>
      <c r="CZ201" s="25"/>
    </row>
    <row r="202" spans="1:104">
      <c r="A202" s="8" t="s">
        <v>19</v>
      </c>
      <c r="B202" s="8">
        <v>209</v>
      </c>
      <c r="C202" s="8" t="s">
        <v>19</v>
      </c>
      <c r="D202" s="8">
        <v>340</v>
      </c>
      <c r="E202" s="8" t="s">
        <v>20</v>
      </c>
      <c r="F202" s="8">
        <v>784</v>
      </c>
      <c r="G202" s="8" t="s">
        <v>21</v>
      </c>
      <c r="H202" s="8">
        <v>4374</v>
      </c>
      <c r="I202" s="8">
        <v>-8.15798851300241e-7</v>
      </c>
      <c r="J202" s="8">
        <v>-1.04477034593839e-6</v>
      </c>
      <c r="K202" s="8">
        <v>1.50748334303906</v>
      </c>
      <c r="L202" s="10"/>
      <c r="M202" s="10">
        <f t="shared" si="12"/>
        <v>744.855</v>
      </c>
      <c r="N202" s="18">
        <f t="shared" si="13"/>
        <v>535.855</v>
      </c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5"/>
      <c r="AM202" s="15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5"/>
      <c r="AZ202" s="15"/>
      <c r="BA202" s="16"/>
      <c r="BB202" s="16"/>
      <c r="BC202" s="16"/>
      <c r="BD202" s="16"/>
      <c r="BE202" s="16"/>
      <c r="BF202" s="16"/>
      <c r="BG202" s="16"/>
      <c r="BH202" s="16"/>
      <c r="BI202" s="16"/>
      <c r="BJ202" s="16"/>
      <c r="BK202" s="16"/>
      <c r="BL202" s="15"/>
      <c r="BM202" s="15"/>
      <c r="BN202" s="21"/>
      <c r="BO202" s="16"/>
      <c r="BP202" s="16"/>
      <c r="BQ202" s="16"/>
      <c r="BR202" s="16"/>
      <c r="BS202" s="16"/>
      <c r="BT202" s="16"/>
      <c r="BU202" s="8"/>
      <c r="BV202" s="8"/>
      <c r="BW202" s="8"/>
      <c r="BX202" s="8"/>
      <c r="BY202" s="25"/>
      <c r="BZ202" s="25"/>
      <c r="CA202" s="25"/>
      <c r="CB202" s="25"/>
      <c r="CC202" s="25"/>
      <c r="CD202" s="25"/>
      <c r="CE202" s="25"/>
      <c r="CF202" s="25"/>
      <c r="CG202" s="25"/>
      <c r="CH202" s="25"/>
      <c r="CI202" s="25"/>
      <c r="CJ202" s="25"/>
      <c r="CK202" s="25"/>
      <c r="CL202" s="25"/>
      <c r="CM202" s="25"/>
      <c r="CN202" s="25"/>
      <c r="CO202" s="25"/>
      <c r="CP202" s="25"/>
      <c r="CQ202" s="25"/>
      <c r="CR202" s="25"/>
      <c r="CS202" s="25"/>
      <c r="CT202" s="25"/>
      <c r="CU202" s="25"/>
      <c r="CV202" s="25"/>
      <c r="CW202" s="25"/>
      <c r="CX202" s="25"/>
      <c r="CY202" s="25"/>
      <c r="CZ202" s="25"/>
    </row>
    <row r="203" spans="1:104">
      <c r="A203" s="8" t="s">
        <v>19</v>
      </c>
      <c r="B203" s="8">
        <v>209</v>
      </c>
      <c r="C203" s="8" t="s">
        <v>19</v>
      </c>
      <c r="D203" s="8">
        <v>340</v>
      </c>
      <c r="E203" s="8" t="s">
        <v>20</v>
      </c>
      <c r="F203" s="8">
        <v>841</v>
      </c>
      <c r="G203" s="8" t="s">
        <v>21</v>
      </c>
      <c r="H203" s="8">
        <v>4704</v>
      </c>
      <c r="I203" s="8">
        <v>-6.87080594206059e-7</v>
      </c>
      <c r="J203" s="8">
        <v>-8.02313408733252e-7</v>
      </c>
      <c r="K203" s="8">
        <v>1.43469315428622</v>
      </c>
      <c r="L203" s="10"/>
      <c r="M203" s="10">
        <f t="shared" si="12"/>
        <v>799.875</v>
      </c>
      <c r="N203" s="18">
        <f t="shared" si="13"/>
        <v>590.875</v>
      </c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5"/>
      <c r="AM203" s="15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5"/>
      <c r="AZ203" s="15"/>
      <c r="BA203" s="16"/>
      <c r="BB203" s="16"/>
      <c r="BC203" s="16"/>
      <c r="BD203" s="16"/>
      <c r="BE203" s="16"/>
      <c r="BF203" s="16"/>
      <c r="BG203" s="16"/>
      <c r="BH203" s="16"/>
      <c r="BI203" s="16"/>
      <c r="BJ203" s="16"/>
      <c r="BK203" s="16"/>
      <c r="BL203" s="15"/>
      <c r="BM203" s="15"/>
      <c r="BN203" s="21"/>
      <c r="BO203" s="16"/>
      <c r="BP203" s="16"/>
      <c r="BQ203" s="16"/>
      <c r="BR203" s="16"/>
      <c r="BS203" s="16"/>
      <c r="BT203" s="16"/>
      <c r="BU203" s="8"/>
      <c r="BV203" s="8"/>
      <c r="BW203" s="8"/>
      <c r="BX203" s="8"/>
      <c r="BY203" s="25"/>
      <c r="BZ203" s="25"/>
      <c r="CA203" s="25"/>
      <c r="CB203" s="25"/>
      <c r="CC203" s="25"/>
      <c r="CD203" s="25"/>
      <c r="CE203" s="25"/>
      <c r="CF203" s="25"/>
      <c r="CG203" s="25"/>
      <c r="CH203" s="25"/>
      <c r="CI203" s="25"/>
      <c r="CJ203" s="25"/>
      <c r="CK203" s="25"/>
      <c r="CL203" s="25"/>
      <c r="CM203" s="25"/>
      <c r="CN203" s="25"/>
      <c r="CO203" s="25"/>
      <c r="CP203" s="25"/>
      <c r="CQ203" s="25"/>
      <c r="CR203" s="25"/>
      <c r="CS203" s="25"/>
      <c r="CT203" s="25"/>
      <c r="CU203" s="25"/>
      <c r="CV203" s="25"/>
      <c r="CW203" s="25"/>
      <c r="CX203" s="25"/>
      <c r="CY203" s="25"/>
      <c r="CZ203" s="25"/>
    </row>
    <row r="204" spans="1:104">
      <c r="A204" s="8" t="s">
        <v>19</v>
      </c>
      <c r="B204" s="8">
        <v>209</v>
      </c>
      <c r="C204" s="8" t="s">
        <v>19</v>
      </c>
      <c r="D204" s="8">
        <v>340</v>
      </c>
      <c r="E204" s="8" t="s">
        <v>20</v>
      </c>
      <c r="F204" s="8">
        <v>900</v>
      </c>
      <c r="G204" s="8" t="s">
        <v>21</v>
      </c>
      <c r="H204" s="8">
        <v>5046</v>
      </c>
      <c r="I204" s="8">
        <v>-7.36092913758947e-7</v>
      </c>
      <c r="J204" s="8">
        <v>-7.79814999033335e-7</v>
      </c>
      <c r="K204" s="8">
        <v>1.40707784701557</v>
      </c>
      <c r="L204" s="10"/>
      <c r="M204" s="10">
        <f t="shared" si="12"/>
        <v>856.855</v>
      </c>
      <c r="N204" s="18">
        <f t="shared" si="13"/>
        <v>647.855</v>
      </c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5"/>
      <c r="AM204" s="15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5"/>
      <c r="AZ204" s="15"/>
      <c r="BA204" s="16"/>
      <c r="BB204" s="16"/>
      <c r="BC204" s="16"/>
      <c r="BD204" s="16"/>
      <c r="BE204" s="16"/>
      <c r="BF204" s="16"/>
      <c r="BG204" s="16"/>
      <c r="BH204" s="16"/>
      <c r="BI204" s="16"/>
      <c r="BJ204" s="16"/>
      <c r="BK204" s="16"/>
      <c r="BL204" s="15"/>
      <c r="BM204" s="15"/>
      <c r="BN204" s="21"/>
      <c r="BO204" s="16"/>
      <c r="BP204" s="16"/>
      <c r="BQ204" s="16"/>
      <c r="BR204" s="16"/>
      <c r="BS204" s="16"/>
      <c r="BT204" s="16"/>
      <c r="BU204" s="8"/>
      <c r="BV204" s="8"/>
      <c r="BW204" s="8"/>
      <c r="BX204" s="8"/>
      <c r="BY204" s="25"/>
      <c r="BZ204" s="25"/>
      <c r="CA204" s="25"/>
      <c r="CB204" s="25"/>
      <c r="CC204" s="25"/>
      <c r="CD204" s="25"/>
      <c r="CE204" s="25"/>
      <c r="CF204" s="25"/>
      <c r="CG204" s="25"/>
      <c r="CH204" s="25"/>
      <c r="CI204" s="25"/>
      <c r="CJ204" s="25"/>
      <c r="CK204" s="25"/>
      <c r="CL204" s="25"/>
      <c r="CM204" s="25"/>
      <c r="CN204" s="25"/>
      <c r="CO204" s="25"/>
      <c r="CP204" s="25"/>
      <c r="CQ204" s="25"/>
      <c r="CR204" s="25"/>
      <c r="CS204" s="25"/>
      <c r="CT204" s="25"/>
      <c r="CU204" s="25"/>
      <c r="CV204" s="25"/>
      <c r="CW204" s="25"/>
      <c r="CX204" s="25"/>
      <c r="CY204" s="25"/>
      <c r="CZ204" s="25"/>
    </row>
    <row r="205" spans="1:104">
      <c r="A205" s="8" t="s">
        <v>19</v>
      </c>
      <c r="B205" s="8">
        <v>209</v>
      </c>
      <c r="C205" s="8" t="s">
        <v>19</v>
      </c>
      <c r="D205" s="8">
        <v>340</v>
      </c>
      <c r="E205" s="8" t="s">
        <v>20</v>
      </c>
      <c r="F205" s="8">
        <v>961</v>
      </c>
      <c r="G205" s="8" t="s">
        <v>21</v>
      </c>
      <c r="H205" s="8">
        <v>5400</v>
      </c>
      <c r="I205" s="8">
        <v>-6.91105413271474e-7</v>
      </c>
      <c r="J205" s="8">
        <v>-7.14653646866937e-7</v>
      </c>
      <c r="K205" s="8">
        <v>1.38224205156247</v>
      </c>
      <c r="L205" s="10"/>
      <c r="M205" s="10">
        <f t="shared" si="12"/>
        <v>915.795</v>
      </c>
      <c r="N205" s="18">
        <f t="shared" si="13"/>
        <v>706.795</v>
      </c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5"/>
      <c r="AM205" s="15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5"/>
      <c r="AZ205" s="15"/>
      <c r="BA205" s="16"/>
      <c r="BB205" s="16"/>
      <c r="BC205" s="16"/>
      <c r="BD205" s="16"/>
      <c r="BE205" s="16"/>
      <c r="BF205" s="16"/>
      <c r="BG205" s="16"/>
      <c r="BH205" s="16"/>
      <c r="BI205" s="16"/>
      <c r="BJ205" s="16"/>
      <c r="BK205" s="16"/>
      <c r="BL205" s="15"/>
      <c r="BM205" s="15"/>
      <c r="BN205" s="21"/>
      <c r="BO205" s="16"/>
      <c r="BP205" s="16"/>
      <c r="BQ205" s="16"/>
      <c r="BR205" s="16"/>
      <c r="BS205" s="16"/>
      <c r="BT205" s="16"/>
      <c r="BU205" s="8"/>
      <c r="BV205" s="8"/>
      <c r="BW205" s="8"/>
      <c r="BX205" s="8"/>
      <c r="BY205" s="25"/>
      <c r="BZ205" s="25"/>
      <c r="CA205" s="25"/>
      <c r="CB205" s="25"/>
      <c r="CC205" s="25"/>
      <c r="CD205" s="25"/>
      <c r="CE205" s="25"/>
      <c r="CF205" s="25"/>
      <c r="CG205" s="25"/>
      <c r="CH205" s="25"/>
      <c r="CI205" s="25"/>
      <c r="CJ205" s="25"/>
      <c r="CK205" s="25"/>
      <c r="CL205" s="25"/>
      <c r="CM205" s="25"/>
      <c r="CN205" s="25"/>
      <c r="CO205" s="25"/>
      <c r="CP205" s="25"/>
      <c r="CQ205" s="25"/>
      <c r="CR205" s="25"/>
      <c r="CS205" s="25"/>
      <c r="CT205" s="25"/>
      <c r="CU205" s="25"/>
      <c r="CV205" s="25"/>
      <c r="CW205" s="25"/>
      <c r="CX205" s="25"/>
      <c r="CY205" s="25"/>
      <c r="CZ205" s="25"/>
    </row>
    <row r="206" spans="1:104">
      <c r="A206" s="8" t="s">
        <v>19</v>
      </c>
      <c r="B206" s="8">
        <v>209</v>
      </c>
      <c r="C206" s="8" t="s">
        <v>19</v>
      </c>
      <c r="D206" s="8">
        <v>340</v>
      </c>
      <c r="E206" s="8" t="s">
        <v>20</v>
      </c>
      <c r="F206" s="8">
        <v>1024</v>
      </c>
      <c r="G206" s="8" t="s">
        <v>21</v>
      </c>
      <c r="H206" s="8">
        <v>5766</v>
      </c>
      <c r="I206" s="8">
        <v>-6.03309001892713e-7</v>
      </c>
      <c r="J206" s="8">
        <v>-6.36642669837689e-7</v>
      </c>
      <c r="K206" s="8">
        <v>1.36184785940808</v>
      </c>
      <c r="L206" s="10"/>
      <c r="M206" s="10">
        <f t="shared" si="12"/>
        <v>976.695</v>
      </c>
      <c r="N206" s="18">
        <f t="shared" si="13"/>
        <v>767.695</v>
      </c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5"/>
      <c r="AM206" s="15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5"/>
      <c r="AZ206" s="15"/>
      <c r="BA206" s="16"/>
      <c r="BB206" s="16"/>
      <c r="BC206" s="16"/>
      <c r="BD206" s="16"/>
      <c r="BE206" s="16"/>
      <c r="BF206" s="16"/>
      <c r="BG206" s="16"/>
      <c r="BH206" s="16"/>
      <c r="BI206" s="16"/>
      <c r="BJ206" s="16"/>
      <c r="BK206" s="16"/>
      <c r="BL206" s="15"/>
      <c r="BM206" s="15"/>
      <c r="BN206" s="21"/>
      <c r="BO206" s="16"/>
      <c r="BP206" s="16"/>
      <c r="BQ206" s="16"/>
      <c r="BR206" s="16"/>
      <c r="BS206" s="16"/>
      <c r="BT206" s="16"/>
      <c r="BU206" s="8"/>
      <c r="BV206" s="8"/>
      <c r="BW206" s="8"/>
      <c r="BX206" s="8"/>
      <c r="BY206" s="25"/>
      <c r="BZ206" s="25"/>
      <c r="CA206" s="25"/>
      <c r="CB206" s="25"/>
      <c r="CC206" s="25"/>
      <c r="CD206" s="25"/>
      <c r="CE206" s="25"/>
      <c r="CF206" s="25"/>
      <c r="CG206" s="25"/>
      <c r="CH206" s="25"/>
      <c r="CI206" s="25"/>
      <c r="CJ206" s="25"/>
      <c r="CK206" s="25"/>
      <c r="CL206" s="25"/>
      <c r="CM206" s="25"/>
      <c r="CN206" s="25"/>
      <c r="CO206" s="25"/>
      <c r="CP206" s="25"/>
      <c r="CQ206" s="25"/>
      <c r="CR206" s="25"/>
      <c r="CS206" s="25"/>
      <c r="CT206" s="25"/>
      <c r="CU206" s="25"/>
      <c r="CV206" s="25"/>
      <c r="CW206" s="25"/>
      <c r="CX206" s="25"/>
      <c r="CY206" s="25"/>
      <c r="CZ206" s="25"/>
    </row>
    <row r="207" spans="1:104">
      <c r="A207" s="8" t="s">
        <v>19</v>
      </c>
      <c r="B207" s="8">
        <v>209</v>
      </c>
      <c r="C207" s="8" t="s">
        <v>19</v>
      </c>
      <c r="D207" s="8">
        <v>340</v>
      </c>
      <c r="E207" s="8" t="s">
        <v>20</v>
      </c>
      <c r="F207" s="8">
        <v>1089</v>
      </c>
      <c r="G207" s="8" t="s">
        <v>21</v>
      </c>
      <c r="H207" s="8">
        <v>6144</v>
      </c>
      <c r="I207" s="8">
        <v>-6.36353239205322e-7</v>
      </c>
      <c r="J207" s="8">
        <v>-6.65640580739287e-7</v>
      </c>
      <c r="K207" s="8">
        <v>1.36869315510186</v>
      </c>
      <c r="L207" s="10"/>
      <c r="M207" s="10">
        <f t="shared" si="12"/>
        <v>1039.555</v>
      </c>
      <c r="N207" s="18">
        <f t="shared" si="13"/>
        <v>830.555</v>
      </c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5"/>
      <c r="AM207" s="15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5"/>
      <c r="AZ207" s="15"/>
      <c r="BA207" s="16"/>
      <c r="BB207" s="16"/>
      <c r="BC207" s="16"/>
      <c r="BD207" s="16"/>
      <c r="BE207" s="16"/>
      <c r="BF207" s="16"/>
      <c r="BG207" s="16"/>
      <c r="BH207" s="16"/>
      <c r="BI207" s="16"/>
      <c r="BJ207" s="16"/>
      <c r="BK207" s="16"/>
      <c r="BL207" s="15"/>
      <c r="BM207" s="15"/>
      <c r="BN207" s="21"/>
      <c r="BO207" s="16"/>
      <c r="BP207" s="16"/>
      <c r="BQ207" s="16"/>
      <c r="BR207" s="16"/>
      <c r="BS207" s="16"/>
      <c r="BT207" s="16"/>
      <c r="BU207" s="8"/>
      <c r="BV207" s="8"/>
      <c r="BW207" s="8"/>
      <c r="BX207" s="8"/>
      <c r="BY207" s="25"/>
      <c r="BZ207" s="25"/>
      <c r="CA207" s="25"/>
      <c r="CB207" s="25"/>
      <c r="CC207" s="25"/>
      <c r="CD207" s="25"/>
      <c r="CE207" s="25"/>
      <c r="CF207" s="25"/>
      <c r="CG207" s="25"/>
      <c r="CH207" s="25"/>
      <c r="CI207" s="25"/>
      <c r="CJ207" s="25"/>
      <c r="CK207" s="25"/>
      <c r="CL207" s="25"/>
      <c r="CM207" s="25"/>
      <c r="CN207" s="25"/>
      <c r="CO207" s="25"/>
      <c r="CP207" s="25"/>
      <c r="CQ207" s="25"/>
      <c r="CR207" s="25"/>
      <c r="CS207" s="25"/>
      <c r="CT207" s="25"/>
      <c r="CU207" s="25"/>
      <c r="CV207" s="25"/>
      <c r="CW207" s="25"/>
      <c r="CX207" s="25"/>
      <c r="CY207" s="25"/>
      <c r="CZ207" s="25"/>
    </row>
    <row r="208" ht="23.25" spans="1:104">
      <c r="A208" s="7" t="s">
        <v>28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10"/>
      <c r="M208" s="10"/>
      <c r="N208" s="18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5"/>
      <c r="AM208" s="15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5"/>
      <c r="AZ208" s="15"/>
      <c r="BA208" s="20"/>
      <c r="BB208" s="20"/>
      <c r="BC208" s="20"/>
      <c r="BD208" s="20"/>
      <c r="BE208" s="20"/>
      <c r="BF208" s="20"/>
      <c r="BG208" s="20"/>
      <c r="BH208" s="20"/>
      <c r="BI208" s="20"/>
      <c r="BJ208" s="20"/>
      <c r="BK208" s="20"/>
      <c r="BL208" s="15"/>
      <c r="BM208" s="15"/>
      <c r="BN208" s="21"/>
      <c r="BO208" s="16"/>
      <c r="BP208" s="16"/>
      <c r="BQ208" s="16"/>
      <c r="BR208" s="16"/>
      <c r="BS208" s="16"/>
      <c r="BT208" s="16"/>
      <c r="BU208" s="8"/>
      <c r="BV208" s="8"/>
      <c r="BW208" s="8"/>
      <c r="BX208" s="8"/>
      <c r="BY208" s="25"/>
      <c r="BZ208" s="25"/>
      <c r="CA208" s="25"/>
      <c r="CB208" s="25"/>
      <c r="CC208" s="25"/>
      <c r="CD208" s="25"/>
      <c r="CE208" s="25"/>
      <c r="CF208" s="25"/>
      <c r="CG208" s="25"/>
      <c r="CH208" s="25"/>
      <c r="CI208" s="25"/>
      <c r="CJ208" s="25"/>
      <c r="CK208" s="25"/>
      <c r="CL208" s="25"/>
      <c r="CM208" s="25"/>
      <c r="CN208" s="25"/>
      <c r="CO208" s="25"/>
      <c r="CP208" s="25"/>
      <c r="CQ208" s="25"/>
      <c r="CR208" s="25"/>
      <c r="CS208" s="25"/>
      <c r="CT208" s="25"/>
      <c r="CU208" s="25"/>
      <c r="CV208" s="25"/>
      <c r="CW208" s="25"/>
      <c r="CX208" s="25"/>
      <c r="CY208" s="25"/>
      <c r="CZ208" s="25"/>
    </row>
    <row r="209" ht="23.25" spans="1:104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10"/>
      <c r="M209" s="10"/>
      <c r="N209" s="18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5"/>
      <c r="AM209" s="15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5"/>
      <c r="AZ209" s="15"/>
      <c r="BA209" s="20"/>
      <c r="BB209" s="20"/>
      <c r="BC209" s="20"/>
      <c r="BD209" s="20"/>
      <c r="BE209" s="20"/>
      <c r="BF209" s="20"/>
      <c r="BG209" s="20"/>
      <c r="BH209" s="20"/>
      <c r="BI209" s="20"/>
      <c r="BJ209" s="20"/>
      <c r="BK209" s="20"/>
      <c r="BL209" s="15"/>
      <c r="BM209" s="15"/>
      <c r="BN209" s="21"/>
      <c r="BO209" s="14"/>
      <c r="BP209" s="14"/>
      <c r="BQ209" s="14"/>
      <c r="BR209" s="14"/>
      <c r="BS209" s="14"/>
      <c r="BT209" s="14"/>
      <c r="BU209" s="24"/>
      <c r="BV209" s="24"/>
      <c r="BW209" s="24"/>
      <c r="BX209" s="24"/>
      <c r="BY209" s="25"/>
      <c r="BZ209" s="25"/>
      <c r="CA209" s="25"/>
      <c r="CB209" s="25"/>
      <c r="CC209" s="25"/>
      <c r="CD209" s="25"/>
      <c r="CE209" s="25"/>
      <c r="CF209" s="25"/>
      <c r="CG209" s="25"/>
      <c r="CH209" s="25"/>
      <c r="CI209" s="25"/>
      <c r="CJ209" s="25"/>
      <c r="CK209" s="25"/>
      <c r="CL209" s="25"/>
      <c r="CM209" s="25"/>
      <c r="CN209" s="25"/>
      <c r="CO209" s="25"/>
      <c r="CP209" s="25"/>
      <c r="CQ209" s="25"/>
      <c r="CR209" s="25"/>
      <c r="CS209" s="25"/>
      <c r="CT209" s="25"/>
      <c r="CU209" s="25"/>
      <c r="CV209" s="25"/>
      <c r="CW209" s="25"/>
      <c r="CX209" s="25"/>
      <c r="CY209" s="25"/>
      <c r="CZ209" s="25"/>
    </row>
    <row r="210" ht="23.25" spans="1:104">
      <c r="A210" s="8" t="s">
        <v>7</v>
      </c>
      <c r="B210" s="8" t="s">
        <v>8</v>
      </c>
      <c r="C210" s="8" t="s">
        <v>9</v>
      </c>
      <c r="D210" s="8" t="s">
        <v>10</v>
      </c>
      <c r="E210" s="8" t="s">
        <v>11</v>
      </c>
      <c r="F210" s="8" t="s">
        <v>12</v>
      </c>
      <c r="G210" s="8" t="s">
        <v>13</v>
      </c>
      <c r="H210" s="8" t="s">
        <v>14</v>
      </c>
      <c r="I210" s="8" t="s">
        <v>15</v>
      </c>
      <c r="J210" s="8" t="s">
        <v>16</v>
      </c>
      <c r="K210" s="8" t="s">
        <v>17</v>
      </c>
      <c r="L210" s="10"/>
      <c r="M210" s="10"/>
      <c r="N210" s="18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5"/>
      <c r="AM210" s="15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5"/>
      <c r="AZ210" s="15"/>
      <c r="BA210" s="16"/>
      <c r="BB210" s="16"/>
      <c r="BC210" s="16"/>
      <c r="BD210" s="16"/>
      <c r="BE210" s="16"/>
      <c r="BF210" s="16"/>
      <c r="BG210" s="16"/>
      <c r="BH210" s="16"/>
      <c r="BI210" s="16"/>
      <c r="BJ210" s="16"/>
      <c r="BK210" s="16"/>
      <c r="BL210" s="15"/>
      <c r="BM210" s="15"/>
      <c r="BN210" s="21"/>
      <c r="BO210" s="14"/>
      <c r="BP210" s="14"/>
      <c r="BQ210" s="14"/>
      <c r="BR210" s="14"/>
      <c r="BS210" s="14"/>
      <c r="BT210" s="14"/>
      <c r="BU210" s="24"/>
      <c r="BV210" s="24"/>
      <c r="BW210" s="24"/>
      <c r="BX210" s="24"/>
      <c r="BY210" s="25"/>
      <c r="BZ210" s="25"/>
      <c r="CA210" s="25"/>
      <c r="CB210" s="25"/>
      <c r="CC210" s="25"/>
      <c r="CD210" s="25"/>
      <c r="CE210" s="25"/>
      <c r="CF210" s="25"/>
      <c r="CG210" s="25"/>
      <c r="CH210" s="25"/>
      <c r="CI210" s="25"/>
      <c r="CJ210" s="25"/>
      <c r="CK210" s="25"/>
      <c r="CL210" s="25"/>
      <c r="CM210" s="25"/>
      <c r="CN210" s="25"/>
      <c r="CO210" s="25"/>
      <c r="CP210" s="25"/>
      <c r="CQ210" s="25"/>
      <c r="CR210" s="25"/>
      <c r="CS210" s="25"/>
      <c r="CT210" s="25"/>
      <c r="CU210" s="25"/>
      <c r="CV210" s="25"/>
      <c r="CW210" s="25"/>
      <c r="CX210" s="25"/>
      <c r="CY210" s="25"/>
      <c r="CZ210" s="25"/>
    </row>
    <row r="211" ht="23.25" spans="1:104">
      <c r="A211" s="8" t="s">
        <v>19</v>
      </c>
      <c r="B211" s="8">
        <v>238</v>
      </c>
      <c r="C211" s="8" t="s">
        <v>19</v>
      </c>
      <c r="D211" s="8">
        <v>340</v>
      </c>
      <c r="E211" s="8" t="s">
        <v>20</v>
      </c>
      <c r="F211" s="8">
        <v>196</v>
      </c>
      <c r="G211" s="8" t="s">
        <v>21</v>
      </c>
      <c r="H211" s="8">
        <v>1014</v>
      </c>
      <c r="I211" s="8">
        <v>-1.60113149857502</v>
      </c>
      <c r="J211" s="8">
        <v>-1.75788888926882</v>
      </c>
      <c r="K211" s="8">
        <v>-0.753265790161725</v>
      </c>
      <c r="L211" s="10"/>
      <c r="M211" s="10">
        <f t="shared" ref="M211:M230" si="14">(FLOOR(((SQRT(1+8*F211)-3))/2,0.1)*(FLOOR(((SQRT(1+8*F211)-3))/2,0.1)+1))/2</f>
        <v>176.595</v>
      </c>
      <c r="N211" s="18">
        <f t="shared" ref="N211:N230" si="15">ABS(B211-M211)</f>
        <v>61.405</v>
      </c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5"/>
      <c r="AM211" s="15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5"/>
      <c r="AZ211" s="15"/>
      <c r="BA211" s="16"/>
      <c r="BB211" s="16"/>
      <c r="BC211" s="16"/>
      <c r="BD211" s="16"/>
      <c r="BE211" s="16"/>
      <c r="BF211" s="16"/>
      <c r="BG211" s="16"/>
      <c r="BH211" s="16"/>
      <c r="BI211" s="16"/>
      <c r="BJ211" s="16"/>
      <c r="BK211" s="16"/>
      <c r="BL211" s="15"/>
      <c r="BM211" s="15"/>
      <c r="BN211" s="21"/>
      <c r="BO211" s="15"/>
      <c r="BP211" s="15"/>
      <c r="BQ211" s="15"/>
      <c r="BR211" s="15"/>
      <c r="BS211" s="15"/>
      <c r="BT211" s="15"/>
      <c r="BU211" s="10"/>
      <c r="BV211" s="10"/>
      <c r="BW211" s="10"/>
      <c r="BX211" s="10"/>
      <c r="BY211" s="25"/>
      <c r="BZ211" s="25"/>
      <c r="CA211" s="25"/>
      <c r="CB211" s="25"/>
      <c r="CC211" s="25"/>
      <c r="CD211" s="25"/>
      <c r="CE211" s="25"/>
      <c r="CF211" s="25"/>
      <c r="CG211" s="25"/>
      <c r="CH211" s="25"/>
      <c r="CI211" s="25"/>
      <c r="CJ211" s="25"/>
      <c r="CK211" s="25"/>
      <c r="CL211" s="25"/>
      <c r="CM211" s="25"/>
      <c r="CN211" s="25"/>
      <c r="CO211" s="25"/>
      <c r="CP211" s="25"/>
      <c r="CQ211" s="25"/>
      <c r="CR211" s="25"/>
      <c r="CS211" s="25"/>
      <c r="CT211" s="25"/>
      <c r="CU211" s="25"/>
      <c r="CV211" s="25"/>
      <c r="CW211" s="25"/>
      <c r="CX211" s="25"/>
      <c r="CY211" s="25"/>
      <c r="CZ211" s="25"/>
    </row>
    <row r="212" ht="23.25" spans="1:104">
      <c r="A212" s="8" t="s">
        <v>19</v>
      </c>
      <c r="B212" s="8">
        <v>238</v>
      </c>
      <c r="C212" s="8" t="s">
        <v>19</v>
      </c>
      <c r="D212" s="8">
        <v>340</v>
      </c>
      <c r="E212" s="8" t="s">
        <v>20</v>
      </c>
      <c r="F212" s="8">
        <v>225</v>
      </c>
      <c r="G212" s="8" t="s">
        <v>21</v>
      </c>
      <c r="H212" s="8">
        <v>1176</v>
      </c>
      <c r="I212" s="8">
        <v>-2.16191781931675</v>
      </c>
      <c r="J212" s="8">
        <v>-1.88603754814544</v>
      </c>
      <c r="K212" s="8">
        <v>-0.818402398742146</v>
      </c>
      <c r="L212" s="10"/>
      <c r="M212" s="10">
        <f t="shared" si="14"/>
        <v>203.895</v>
      </c>
      <c r="N212" s="18">
        <f t="shared" si="15"/>
        <v>34.1049999999999</v>
      </c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5"/>
      <c r="AM212" s="15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5"/>
      <c r="AZ212" s="15"/>
      <c r="BA212" s="16"/>
      <c r="BB212" s="16"/>
      <c r="BC212" s="16"/>
      <c r="BD212" s="16"/>
      <c r="BE212" s="16"/>
      <c r="BF212" s="16"/>
      <c r="BG212" s="16"/>
      <c r="BH212" s="16"/>
      <c r="BI212" s="16"/>
      <c r="BJ212" s="16"/>
      <c r="BK212" s="16"/>
      <c r="BL212" s="15"/>
      <c r="BM212" s="15"/>
      <c r="BN212" s="21"/>
      <c r="BO212" s="16"/>
      <c r="BP212" s="16"/>
      <c r="BQ212" s="16"/>
      <c r="BR212" s="16"/>
      <c r="BS212" s="16"/>
      <c r="BT212" s="16"/>
      <c r="BU212" s="8"/>
      <c r="BV212" s="8"/>
      <c r="BW212" s="8"/>
      <c r="BX212" s="8"/>
      <c r="BY212" s="25"/>
      <c r="BZ212" s="25"/>
      <c r="CA212" s="25"/>
      <c r="CB212" s="25"/>
      <c r="CC212" s="25"/>
      <c r="CD212" s="25"/>
      <c r="CE212" s="25"/>
      <c r="CF212" s="25"/>
      <c r="CG212" s="25"/>
      <c r="CH212" s="25"/>
      <c r="CI212" s="25"/>
      <c r="CJ212" s="25"/>
      <c r="CK212" s="25"/>
      <c r="CL212" s="25"/>
      <c r="CM212" s="25"/>
      <c r="CN212" s="25"/>
      <c r="CO212" s="25"/>
      <c r="CP212" s="25"/>
      <c r="CQ212" s="25"/>
      <c r="CR212" s="25"/>
      <c r="CS212" s="25"/>
      <c r="CT212" s="25"/>
      <c r="CU212" s="25"/>
      <c r="CV212" s="25"/>
      <c r="CW212" s="25"/>
      <c r="CX212" s="25"/>
      <c r="CY212" s="25"/>
      <c r="CZ212" s="25"/>
    </row>
    <row r="213" spans="1:104">
      <c r="A213" s="9" t="s">
        <v>19</v>
      </c>
      <c r="B213" s="9">
        <v>238</v>
      </c>
      <c r="C213" s="9" t="s">
        <v>19</v>
      </c>
      <c r="D213" s="9">
        <v>340</v>
      </c>
      <c r="E213" s="9" t="s">
        <v>20</v>
      </c>
      <c r="F213" s="9">
        <v>256</v>
      </c>
      <c r="G213" s="9" t="s">
        <v>21</v>
      </c>
      <c r="H213" s="9">
        <v>1350</v>
      </c>
      <c r="I213" s="9">
        <v>-2.1182661175806</v>
      </c>
      <c r="J213" s="9">
        <v>-1.70115201480642</v>
      </c>
      <c r="K213" s="9">
        <v>-0.304466219717943</v>
      </c>
      <c r="L213" s="11"/>
      <c r="M213" s="11">
        <f t="shared" si="14"/>
        <v>233.155</v>
      </c>
      <c r="N213" s="18">
        <f t="shared" si="15"/>
        <v>4.84499999999997</v>
      </c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2"/>
      <c r="BM213" s="22"/>
      <c r="BN213" s="21"/>
      <c r="BO213" s="16"/>
      <c r="BP213" s="16"/>
      <c r="BQ213" s="16"/>
      <c r="BR213" s="16"/>
      <c r="BS213" s="16"/>
      <c r="BT213" s="16"/>
      <c r="BU213" s="8"/>
      <c r="BV213" s="8"/>
      <c r="BW213" s="8"/>
      <c r="BX213" s="8"/>
      <c r="BY213" s="25"/>
      <c r="BZ213" s="25"/>
      <c r="CA213" s="25"/>
      <c r="CB213" s="25"/>
      <c r="CC213" s="25"/>
      <c r="CD213" s="25"/>
      <c r="CE213" s="25"/>
      <c r="CF213" s="25"/>
      <c r="CG213" s="25"/>
      <c r="CH213" s="25"/>
      <c r="CI213" s="25"/>
      <c r="CJ213" s="25"/>
      <c r="CK213" s="25"/>
      <c r="CL213" s="25"/>
      <c r="CM213" s="25"/>
      <c r="CN213" s="25"/>
      <c r="CO213" s="25"/>
      <c r="CP213" s="25"/>
      <c r="CQ213" s="25"/>
      <c r="CR213" s="25"/>
      <c r="CS213" s="25"/>
      <c r="CT213" s="25"/>
      <c r="CU213" s="25"/>
      <c r="CV213" s="25"/>
      <c r="CW213" s="25"/>
      <c r="CX213" s="25"/>
      <c r="CY213" s="25"/>
      <c r="CZ213" s="25"/>
    </row>
    <row r="214" ht="23.25" spans="1:104">
      <c r="A214" s="8" t="s">
        <v>19</v>
      </c>
      <c r="B214" s="8">
        <v>238</v>
      </c>
      <c r="C214" s="8" t="s">
        <v>19</v>
      </c>
      <c r="D214" s="8">
        <v>340</v>
      </c>
      <c r="E214" s="8" t="s">
        <v>20</v>
      </c>
      <c r="F214" s="8">
        <v>289</v>
      </c>
      <c r="G214" s="8" t="s">
        <v>21</v>
      </c>
      <c r="H214" s="8">
        <v>1536</v>
      </c>
      <c r="I214" s="8">
        <v>-1.81526886737171</v>
      </c>
      <c r="J214" s="8">
        <v>-1.46767841054873</v>
      </c>
      <c r="K214" s="8">
        <v>0.0166443149123086</v>
      </c>
      <c r="L214" s="10"/>
      <c r="M214" s="10">
        <f t="shared" si="14"/>
        <v>264.375</v>
      </c>
      <c r="N214" s="18">
        <f t="shared" si="15"/>
        <v>26.375</v>
      </c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5"/>
      <c r="AM214" s="15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5"/>
      <c r="AZ214" s="15"/>
      <c r="BA214" s="16"/>
      <c r="BB214" s="16"/>
      <c r="BC214" s="16"/>
      <c r="BD214" s="16"/>
      <c r="BE214" s="16"/>
      <c r="BF214" s="16"/>
      <c r="BG214" s="16"/>
      <c r="BH214" s="16"/>
      <c r="BI214" s="16"/>
      <c r="BJ214" s="16"/>
      <c r="BK214" s="16"/>
      <c r="BL214" s="15"/>
      <c r="BM214" s="15"/>
      <c r="BN214" s="21"/>
      <c r="BO214" s="16"/>
      <c r="BP214" s="16"/>
      <c r="BQ214" s="16"/>
      <c r="BR214" s="16"/>
      <c r="BS214" s="16"/>
      <c r="BT214" s="16"/>
      <c r="BU214" s="8"/>
      <c r="BV214" s="8"/>
      <c r="BW214" s="8"/>
      <c r="BX214" s="8"/>
      <c r="BY214" s="25"/>
      <c r="BZ214" s="25"/>
      <c r="CA214" s="25"/>
      <c r="CB214" s="25"/>
      <c r="CC214" s="25"/>
      <c r="CD214" s="25"/>
      <c r="CE214" s="25"/>
      <c r="CF214" s="25"/>
      <c r="CG214" s="25"/>
      <c r="CH214" s="25"/>
      <c r="CI214" s="25"/>
      <c r="CJ214" s="25"/>
      <c r="CK214" s="25"/>
      <c r="CL214" s="25"/>
      <c r="CM214" s="25"/>
      <c r="CN214" s="25"/>
      <c r="CO214" s="25"/>
      <c r="CP214" s="25"/>
      <c r="CQ214" s="25"/>
      <c r="CR214" s="25"/>
      <c r="CS214" s="25"/>
      <c r="CT214" s="25"/>
      <c r="CU214" s="25"/>
      <c r="CV214" s="25"/>
      <c r="CW214" s="25"/>
      <c r="CX214" s="25"/>
      <c r="CY214" s="25"/>
      <c r="CZ214" s="25"/>
    </row>
    <row r="215" ht="23.25" spans="1:104">
      <c r="A215" s="8" t="s">
        <v>19</v>
      </c>
      <c r="B215" s="8">
        <v>238</v>
      </c>
      <c r="C215" s="8" t="s">
        <v>19</v>
      </c>
      <c r="D215" s="8">
        <v>340</v>
      </c>
      <c r="E215" s="8" t="s">
        <v>20</v>
      </c>
      <c r="F215" s="8">
        <v>324</v>
      </c>
      <c r="G215" s="8" t="s">
        <v>21</v>
      </c>
      <c r="H215" s="8">
        <v>1734</v>
      </c>
      <c r="I215" s="8">
        <v>-1.19044632080213</v>
      </c>
      <c r="J215" s="8">
        <v>-1.04611635333177</v>
      </c>
      <c r="K215" s="8">
        <v>0.636223869400752</v>
      </c>
      <c r="L215" s="10"/>
      <c r="M215" s="10">
        <f t="shared" si="14"/>
        <v>297.555</v>
      </c>
      <c r="N215" s="18">
        <f t="shared" si="15"/>
        <v>59.5550000000001</v>
      </c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5"/>
      <c r="AM215" s="15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5"/>
      <c r="AZ215" s="15"/>
      <c r="BA215" s="16"/>
      <c r="BB215" s="16"/>
      <c r="BC215" s="16"/>
      <c r="BD215" s="16"/>
      <c r="BE215" s="16"/>
      <c r="BF215" s="16"/>
      <c r="BG215" s="16"/>
      <c r="BH215" s="16"/>
      <c r="BI215" s="16"/>
      <c r="BJ215" s="16"/>
      <c r="BK215" s="16"/>
      <c r="BL215" s="15"/>
      <c r="BM215" s="15"/>
      <c r="BN215" s="21"/>
      <c r="BO215" s="16"/>
      <c r="BP215" s="16"/>
      <c r="BQ215" s="16"/>
      <c r="BR215" s="16"/>
      <c r="BS215" s="16"/>
      <c r="BT215" s="16"/>
      <c r="BU215" s="8"/>
      <c r="BV215" s="8"/>
      <c r="BW215" s="8"/>
      <c r="BX215" s="8"/>
      <c r="BY215" s="25"/>
      <c r="BZ215" s="25"/>
      <c r="CA215" s="25"/>
      <c r="CB215" s="25"/>
      <c r="CC215" s="25"/>
      <c r="CD215" s="25"/>
      <c r="CE215" s="25"/>
      <c r="CF215" s="25"/>
      <c r="CG215" s="25"/>
      <c r="CH215" s="25"/>
      <c r="CI215" s="25"/>
      <c r="CJ215" s="25"/>
      <c r="CK215" s="25"/>
      <c r="CL215" s="25"/>
      <c r="CM215" s="25"/>
      <c r="CN215" s="25"/>
      <c r="CO215" s="25"/>
      <c r="CP215" s="25"/>
      <c r="CQ215" s="25"/>
      <c r="CR215" s="25"/>
      <c r="CS215" s="25"/>
      <c r="CT215" s="25"/>
      <c r="CU215" s="25"/>
      <c r="CV215" s="25"/>
      <c r="CW215" s="25"/>
      <c r="CX215" s="25"/>
      <c r="CY215" s="25"/>
      <c r="CZ215" s="25"/>
    </row>
    <row r="216" spans="1:104">
      <c r="A216" s="8" t="s">
        <v>19</v>
      </c>
      <c r="B216" s="8">
        <v>238</v>
      </c>
      <c r="C216" s="8" t="s">
        <v>19</v>
      </c>
      <c r="D216" s="8">
        <v>340</v>
      </c>
      <c r="E216" s="8" t="s">
        <v>20</v>
      </c>
      <c r="F216" s="8">
        <v>361</v>
      </c>
      <c r="G216" s="8" t="s">
        <v>21</v>
      </c>
      <c r="H216" s="8">
        <v>1944</v>
      </c>
      <c r="I216" s="8">
        <v>-0.737559215924622</v>
      </c>
      <c r="J216" s="8">
        <v>-0.688164282125965</v>
      </c>
      <c r="K216" s="8">
        <v>1.10384350475701</v>
      </c>
      <c r="L216" s="10"/>
      <c r="M216" s="10">
        <f t="shared" si="14"/>
        <v>332.695</v>
      </c>
      <c r="N216" s="18">
        <f t="shared" si="15"/>
        <v>94.695</v>
      </c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5"/>
      <c r="AZ216" s="15"/>
      <c r="BA216" s="16"/>
      <c r="BB216" s="16"/>
      <c r="BC216" s="16"/>
      <c r="BD216" s="16"/>
      <c r="BE216" s="16"/>
      <c r="BF216" s="16"/>
      <c r="BG216" s="16"/>
      <c r="BH216" s="16"/>
      <c r="BI216" s="16"/>
      <c r="BJ216" s="16"/>
      <c r="BK216" s="16"/>
      <c r="BL216" s="15"/>
      <c r="BM216" s="15"/>
      <c r="BN216" s="21"/>
      <c r="BO216" s="16"/>
      <c r="BP216" s="16"/>
      <c r="BQ216" s="16"/>
      <c r="BR216" s="16"/>
      <c r="BS216" s="16"/>
      <c r="BT216" s="16"/>
      <c r="BU216" s="8"/>
      <c r="BV216" s="8"/>
      <c r="BW216" s="8"/>
      <c r="BX216" s="8"/>
      <c r="BY216" s="25"/>
      <c r="BZ216" s="25"/>
      <c r="CA216" s="25"/>
      <c r="CB216" s="25"/>
      <c r="CC216" s="25"/>
      <c r="CD216" s="25"/>
      <c r="CE216" s="25"/>
      <c r="CF216" s="25"/>
      <c r="CG216" s="25"/>
      <c r="CH216" s="25"/>
      <c r="CI216" s="25"/>
      <c r="CJ216" s="25"/>
      <c r="CK216" s="25"/>
      <c r="CL216" s="25"/>
      <c r="CM216" s="25"/>
      <c r="CN216" s="25"/>
      <c r="CO216" s="25"/>
      <c r="CP216" s="25"/>
      <c r="CQ216" s="25"/>
      <c r="CR216" s="25"/>
      <c r="CS216" s="25"/>
      <c r="CT216" s="25"/>
      <c r="CU216" s="25"/>
      <c r="CV216" s="25"/>
      <c r="CW216" s="25"/>
      <c r="CX216" s="25"/>
      <c r="CY216" s="25"/>
      <c r="CZ216" s="25"/>
    </row>
    <row r="217" spans="1:104">
      <c r="A217" s="8" t="s">
        <v>19</v>
      </c>
      <c r="B217" s="8">
        <v>238</v>
      </c>
      <c r="C217" s="8" t="s">
        <v>19</v>
      </c>
      <c r="D217" s="8">
        <v>340</v>
      </c>
      <c r="E217" s="8" t="s">
        <v>20</v>
      </c>
      <c r="F217" s="8">
        <v>400</v>
      </c>
      <c r="G217" s="8" t="s">
        <v>21</v>
      </c>
      <c r="H217" s="8">
        <v>2166</v>
      </c>
      <c r="I217" s="8">
        <v>-0.29900752335979</v>
      </c>
      <c r="J217" s="8">
        <v>-0.28659203828675</v>
      </c>
      <c r="K217" s="8">
        <v>1.63730513993159</v>
      </c>
      <c r="L217" s="10"/>
      <c r="M217" s="10">
        <f t="shared" si="14"/>
        <v>369.795</v>
      </c>
      <c r="N217" s="18">
        <f t="shared" si="15"/>
        <v>131.795</v>
      </c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5"/>
      <c r="AM217" s="15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5"/>
      <c r="AZ217" s="15"/>
      <c r="BA217" s="16"/>
      <c r="BB217" s="16"/>
      <c r="BC217" s="16"/>
      <c r="BD217" s="16"/>
      <c r="BE217" s="16"/>
      <c r="BF217" s="16"/>
      <c r="BG217" s="16"/>
      <c r="BH217" s="16"/>
      <c r="BI217" s="16"/>
      <c r="BJ217" s="16"/>
      <c r="BK217" s="16"/>
      <c r="BL217" s="15"/>
      <c r="BM217" s="15"/>
      <c r="BN217" s="21"/>
      <c r="BO217" s="16"/>
      <c r="BP217" s="16"/>
      <c r="BQ217" s="16"/>
      <c r="BR217" s="16"/>
      <c r="BS217" s="16"/>
      <c r="BT217" s="16"/>
      <c r="BU217" s="8"/>
      <c r="BV217" s="8"/>
      <c r="BW217" s="8"/>
      <c r="BX217" s="8"/>
      <c r="BY217" s="25"/>
      <c r="BZ217" s="25"/>
      <c r="CA217" s="25"/>
      <c r="CB217" s="25"/>
      <c r="CC217" s="25"/>
      <c r="CD217" s="25"/>
      <c r="CE217" s="25"/>
      <c r="CF217" s="25"/>
      <c r="CG217" s="25"/>
      <c r="CH217" s="25"/>
      <c r="CI217" s="25"/>
      <c r="CJ217" s="25"/>
      <c r="CK217" s="25"/>
      <c r="CL217" s="25"/>
      <c r="CM217" s="25"/>
      <c r="CN217" s="25"/>
      <c r="CO217" s="25"/>
      <c r="CP217" s="25"/>
      <c r="CQ217" s="25"/>
      <c r="CR217" s="25"/>
      <c r="CS217" s="25"/>
      <c r="CT217" s="25"/>
      <c r="CU217" s="25"/>
      <c r="CV217" s="25"/>
      <c r="CW217" s="25"/>
      <c r="CX217" s="25"/>
      <c r="CY217" s="25"/>
      <c r="CZ217" s="25"/>
    </row>
    <row r="218" spans="1:104">
      <c r="A218" s="8" t="s">
        <v>19</v>
      </c>
      <c r="B218" s="8">
        <v>238</v>
      </c>
      <c r="C218" s="8" t="s">
        <v>19</v>
      </c>
      <c r="D218" s="8">
        <v>340</v>
      </c>
      <c r="E218" s="8" t="s">
        <v>20</v>
      </c>
      <c r="F218" s="8">
        <v>441</v>
      </c>
      <c r="G218" s="8" t="s">
        <v>21</v>
      </c>
      <c r="H218" s="8">
        <v>2400</v>
      </c>
      <c r="I218" s="8">
        <v>-0.00783336866568198</v>
      </c>
      <c r="J218" s="8">
        <v>-0.0143568938994744</v>
      </c>
      <c r="K218" s="8">
        <v>2.37615745149523</v>
      </c>
      <c r="L218" s="10"/>
      <c r="M218" s="10">
        <f t="shared" si="14"/>
        <v>411.72</v>
      </c>
      <c r="N218" s="18">
        <f t="shared" si="15"/>
        <v>173.72</v>
      </c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5"/>
      <c r="AM218" s="15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5"/>
      <c r="AZ218" s="15"/>
      <c r="BA218" s="16"/>
      <c r="BB218" s="16"/>
      <c r="BC218" s="16"/>
      <c r="BD218" s="16"/>
      <c r="BE218" s="16"/>
      <c r="BF218" s="16"/>
      <c r="BG218" s="16"/>
      <c r="BH218" s="16"/>
      <c r="BI218" s="16"/>
      <c r="BJ218" s="16"/>
      <c r="BK218" s="16"/>
      <c r="BL218" s="15"/>
      <c r="BM218" s="15"/>
      <c r="BN218" s="21"/>
      <c r="BO218" s="16"/>
      <c r="BP218" s="16"/>
      <c r="BQ218" s="16"/>
      <c r="BR218" s="16"/>
      <c r="BS218" s="16"/>
      <c r="BT218" s="16"/>
      <c r="BU218" s="8"/>
      <c r="BV218" s="8"/>
      <c r="BW218" s="8"/>
      <c r="BX218" s="8"/>
      <c r="BY218" s="25"/>
      <c r="BZ218" s="25"/>
      <c r="CA218" s="25"/>
      <c r="CB218" s="25"/>
      <c r="CC218" s="25"/>
      <c r="CD218" s="25"/>
      <c r="CE218" s="25"/>
      <c r="CF218" s="25"/>
      <c r="CG218" s="25"/>
      <c r="CH218" s="25"/>
      <c r="CI218" s="25"/>
      <c r="CJ218" s="25"/>
      <c r="CK218" s="25"/>
      <c r="CL218" s="25"/>
      <c r="CM218" s="25"/>
      <c r="CN218" s="25"/>
      <c r="CO218" s="25"/>
      <c r="CP218" s="25"/>
      <c r="CQ218" s="25"/>
      <c r="CR218" s="25"/>
      <c r="CS218" s="25"/>
      <c r="CT218" s="25"/>
      <c r="CU218" s="25"/>
      <c r="CV218" s="25"/>
      <c r="CW218" s="25"/>
      <c r="CX218" s="25"/>
      <c r="CY218" s="25"/>
      <c r="CZ218" s="25"/>
    </row>
    <row r="219" spans="1:104">
      <c r="A219" s="8" t="s">
        <v>19</v>
      </c>
      <c r="B219" s="8">
        <v>238</v>
      </c>
      <c r="C219" s="8" t="s">
        <v>19</v>
      </c>
      <c r="D219" s="8">
        <v>340</v>
      </c>
      <c r="E219" s="8" t="s">
        <v>20</v>
      </c>
      <c r="F219" s="8">
        <v>484</v>
      </c>
      <c r="G219" s="8" t="s">
        <v>21</v>
      </c>
      <c r="H219" s="8">
        <v>2646</v>
      </c>
      <c r="I219" s="8">
        <v>2.14081879885145e-5</v>
      </c>
      <c r="J219" s="8">
        <v>-9.24636736116351e-6</v>
      </c>
      <c r="K219" s="8">
        <v>2.30301566819825</v>
      </c>
      <c r="L219" s="10"/>
      <c r="M219" s="10">
        <f t="shared" si="14"/>
        <v>452.88</v>
      </c>
      <c r="N219" s="18">
        <f t="shared" si="15"/>
        <v>214.88</v>
      </c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5"/>
      <c r="AM219" s="15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5"/>
      <c r="AZ219" s="15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  <c r="BK219" s="16"/>
      <c r="BL219" s="15"/>
      <c r="BM219" s="15"/>
      <c r="BN219" s="21"/>
      <c r="BO219" s="16"/>
      <c r="BP219" s="16"/>
      <c r="BQ219" s="16"/>
      <c r="BR219" s="16"/>
      <c r="BS219" s="16"/>
      <c r="BT219" s="16"/>
      <c r="BU219" s="8"/>
      <c r="BV219" s="8"/>
      <c r="BW219" s="8"/>
      <c r="BX219" s="8"/>
      <c r="BY219" s="25"/>
      <c r="BZ219" s="25"/>
      <c r="CA219" s="25"/>
      <c r="CB219" s="25"/>
      <c r="CC219" s="25"/>
      <c r="CD219" s="25"/>
      <c r="CE219" s="25"/>
      <c r="CF219" s="25"/>
      <c r="CG219" s="25"/>
      <c r="CH219" s="25"/>
      <c r="CI219" s="25"/>
      <c r="CJ219" s="25"/>
      <c r="CK219" s="25"/>
      <c r="CL219" s="25"/>
      <c r="CM219" s="25"/>
      <c r="CN219" s="25"/>
      <c r="CO219" s="25"/>
      <c r="CP219" s="25"/>
      <c r="CQ219" s="25"/>
      <c r="CR219" s="25"/>
      <c r="CS219" s="25"/>
      <c r="CT219" s="25"/>
      <c r="CU219" s="25"/>
      <c r="CV219" s="25"/>
      <c r="CW219" s="25"/>
      <c r="CX219" s="25"/>
      <c r="CY219" s="25"/>
      <c r="CZ219" s="25"/>
    </row>
    <row r="220" spans="1:104">
      <c r="A220" s="8" t="s">
        <v>19</v>
      </c>
      <c r="B220" s="8">
        <v>238</v>
      </c>
      <c r="C220" s="8" t="s">
        <v>19</v>
      </c>
      <c r="D220" s="8">
        <v>340</v>
      </c>
      <c r="E220" s="8" t="s">
        <v>20</v>
      </c>
      <c r="F220" s="8">
        <v>529</v>
      </c>
      <c r="G220" s="8" t="s">
        <v>21</v>
      </c>
      <c r="H220" s="8">
        <v>2904</v>
      </c>
      <c r="I220" s="8">
        <v>2.32575238926922e-6</v>
      </c>
      <c r="J220" s="8">
        <v>-3.64833731499203e-6</v>
      </c>
      <c r="K220" s="8">
        <v>1.99496106528867</v>
      </c>
      <c r="L220" s="10"/>
      <c r="M220" s="10">
        <f t="shared" si="14"/>
        <v>496</v>
      </c>
      <c r="N220" s="18">
        <f t="shared" si="15"/>
        <v>258</v>
      </c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5"/>
      <c r="AM220" s="15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5"/>
      <c r="AZ220" s="15"/>
      <c r="BA220" s="16"/>
      <c r="BB220" s="16"/>
      <c r="BC220" s="16"/>
      <c r="BD220" s="16"/>
      <c r="BE220" s="16"/>
      <c r="BF220" s="16"/>
      <c r="BG220" s="16"/>
      <c r="BH220" s="16"/>
      <c r="BI220" s="16"/>
      <c r="BJ220" s="16"/>
      <c r="BK220" s="16"/>
      <c r="BL220" s="15"/>
      <c r="BM220" s="15"/>
      <c r="BN220" s="21"/>
      <c r="BO220" s="16"/>
      <c r="BP220" s="16"/>
      <c r="BQ220" s="16"/>
      <c r="BR220" s="16"/>
      <c r="BS220" s="16"/>
      <c r="BT220" s="16"/>
      <c r="BU220" s="8"/>
      <c r="BV220" s="8"/>
      <c r="BW220" s="8"/>
      <c r="BX220" s="8"/>
      <c r="BY220" s="25"/>
      <c r="BZ220" s="25"/>
      <c r="CA220" s="25"/>
      <c r="CB220" s="25"/>
      <c r="CC220" s="25"/>
      <c r="CD220" s="25"/>
      <c r="CE220" s="25"/>
      <c r="CF220" s="25"/>
      <c r="CG220" s="25"/>
      <c r="CH220" s="25"/>
      <c r="CI220" s="25"/>
      <c r="CJ220" s="25"/>
      <c r="CK220" s="25"/>
      <c r="CL220" s="25"/>
      <c r="CM220" s="25"/>
      <c r="CN220" s="25"/>
      <c r="CO220" s="25"/>
      <c r="CP220" s="25"/>
      <c r="CQ220" s="25"/>
      <c r="CR220" s="25"/>
      <c r="CS220" s="25"/>
      <c r="CT220" s="25"/>
      <c r="CU220" s="25"/>
      <c r="CV220" s="25"/>
      <c r="CW220" s="25"/>
      <c r="CX220" s="25"/>
      <c r="CY220" s="25"/>
      <c r="CZ220" s="25"/>
    </row>
    <row r="221" spans="1:104">
      <c r="A221" s="8" t="s">
        <v>19</v>
      </c>
      <c r="B221" s="8">
        <v>238</v>
      </c>
      <c r="C221" s="8" t="s">
        <v>19</v>
      </c>
      <c r="D221" s="8">
        <v>340</v>
      </c>
      <c r="E221" s="8" t="s">
        <v>20</v>
      </c>
      <c r="F221" s="8">
        <v>576</v>
      </c>
      <c r="G221" s="8" t="s">
        <v>21</v>
      </c>
      <c r="H221" s="8">
        <v>3174</v>
      </c>
      <c r="I221" s="8">
        <v>-2.22425948719116e-7</v>
      </c>
      <c r="J221" s="8">
        <v>-2.84563164005644e-6</v>
      </c>
      <c r="K221" s="8">
        <v>1.85432690395957</v>
      </c>
      <c r="L221" s="10"/>
      <c r="M221" s="10">
        <f t="shared" si="14"/>
        <v>541.08</v>
      </c>
      <c r="N221" s="18">
        <f t="shared" si="15"/>
        <v>303.08</v>
      </c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5"/>
      <c r="AM221" s="15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5"/>
      <c r="AZ221" s="15"/>
      <c r="BA221" s="16"/>
      <c r="BB221" s="16"/>
      <c r="BC221" s="16"/>
      <c r="BD221" s="16"/>
      <c r="BE221" s="16"/>
      <c r="BF221" s="16"/>
      <c r="BG221" s="16"/>
      <c r="BH221" s="16"/>
      <c r="BI221" s="16"/>
      <c r="BJ221" s="16"/>
      <c r="BK221" s="16"/>
      <c r="BL221" s="15"/>
      <c r="BM221" s="15"/>
      <c r="BN221" s="21"/>
      <c r="BO221" s="16"/>
      <c r="BP221" s="16"/>
      <c r="BQ221" s="16"/>
      <c r="BR221" s="16"/>
      <c r="BS221" s="16"/>
      <c r="BT221" s="16"/>
      <c r="BU221" s="8"/>
      <c r="BV221" s="8"/>
      <c r="BW221" s="8"/>
      <c r="BX221" s="8"/>
      <c r="BY221" s="25"/>
      <c r="BZ221" s="25"/>
      <c r="CA221" s="25"/>
      <c r="CB221" s="25"/>
      <c r="CC221" s="25"/>
      <c r="CD221" s="25"/>
      <c r="CE221" s="25"/>
      <c r="CF221" s="25"/>
      <c r="CG221" s="25"/>
      <c r="CH221" s="25"/>
      <c r="CI221" s="25"/>
      <c r="CJ221" s="25"/>
      <c r="CK221" s="25"/>
      <c r="CL221" s="25"/>
      <c r="CM221" s="25"/>
      <c r="CN221" s="25"/>
      <c r="CO221" s="25"/>
      <c r="CP221" s="25"/>
      <c r="CQ221" s="25"/>
      <c r="CR221" s="25"/>
      <c r="CS221" s="25"/>
      <c r="CT221" s="25"/>
      <c r="CU221" s="25"/>
      <c r="CV221" s="25"/>
      <c r="CW221" s="25"/>
      <c r="CX221" s="25"/>
      <c r="CY221" s="25"/>
      <c r="CZ221" s="25"/>
    </row>
    <row r="222" spans="1:104">
      <c r="A222" s="8" t="s">
        <v>19</v>
      </c>
      <c r="B222" s="8">
        <v>238</v>
      </c>
      <c r="C222" s="8" t="s">
        <v>19</v>
      </c>
      <c r="D222" s="8">
        <v>340</v>
      </c>
      <c r="E222" s="8" t="s">
        <v>20</v>
      </c>
      <c r="F222" s="8">
        <v>625</v>
      </c>
      <c r="G222" s="8" t="s">
        <v>21</v>
      </c>
      <c r="H222" s="8">
        <v>3456</v>
      </c>
      <c r="I222" s="8">
        <v>2.03610041905665e-7</v>
      </c>
      <c r="J222" s="8">
        <v>-1.38173297651696e-6</v>
      </c>
      <c r="K222" s="8">
        <v>1.72753404529043</v>
      </c>
      <c r="L222" s="10"/>
      <c r="M222" s="10">
        <f t="shared" si="14"/>
        <v>588.12</v>
      </c>
      <c r="N222" s="18">
        <f t="shared" si="15"/>
        <v>350.12</v>
      </c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5"/>
      <c r="AM222" s="15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5"/>
      <c r="AZ222" s="15"/>
      <c r="BA222" s="16"/>
      <c r="BB222" s="16"/>
      <c r="BC222" s="16"/>
      <c r="BD222" s="16"/>
      <c r="BE222" s="16"/>
      <c r="BF222" s="16"/>
      <c r="BG222" s="16"/>
      <c r="BH222" s="16"/>
      <c r="BI222" s="16"/>
      <c r="BJ222" s="16"/>
      <c r="BK222" s="16"/>
      <c r="BL222" s="15"/>
      <c r="BM222" s="15"/>
      <c r="BN222" s="21"/>
      <c r="BO222" s="16"/>
      <c r="BP222" s="16"/>
      <c r="BQ222" s="16"/>
      <c r="BR222" s="16"/>
      <c r="BS222" s="16"/>
      <c r="BT222" s="16"/>
      <c r="BU222" s="8"/>
      <c r="BV222" s="8"/>
      <c r="BW222" s="8"/>
      <c r="BX222" s="8"/>
      <c r="BY222" s="25"/>
      <c r="BZ222" s="25"/>
      <c r="CA222" s="25"/>
      <c r="CB222" s="25"/>
      <c r="CC222" s="25"/>
      <c r="CD222" s="25"/>
      <c r="CE222" s="25"/>
      <c r="CF222" s="25"/>
      <c r="CG222" s="25"/>
      <c r="CH222" s="25"/>
      <c r="CI222" s="25"/>
      <c r="CJ222" s="25"/>
      <c r="CK222" s="25"/>
      <c r="CL222" s="25"/>
      <c r="CM222" s="25"/>
      <c r="CN222" s="25"/>
      <c r="CO222" s="25"/>
      <c r="CP222" s="25"/>
      <c r="CQ222" s="25"/>
      <c r="CR222" s="25"/>
      <c r="CS222" s="25"/>
      <c r="CT222" s="25"/>
      <c r="CU222" s="25"/>
      <c r="CV222" s="25"/>
      <c r="CW222" s="25"/>
      <c r="CX222" s="25"/>
      <c r="CY222" s="25"/>
      <c r="CZ222" s="25"/>
    </row>
    <row r="223" spans="1:104">
      <c r="A223" s="8" t="s">
        <v>19</v>
      </c>
      <c r="B223" s="8">
        <v>238</v>
      </c>
      <c r="C223" s="8" t="s">
        <v>19</v>
      </c>
      <c r="D223" s="8">
        <v>340</v>
      </c>
      <c r="E223" s="8" t="s">
        <v>20</v>
      </c>
      <c r="F223" s="8">
        <v>676</v>
      </c>
      <c r="G223" s="8" t="s">
        <v>21</v>
      </c>
      <c r="H223" s="8">
        <v>3750</v>
      </c>
      <c r="I223" s="8">
        <v>-5.80726277738367e-7</v>
      </c>
      <c r="J223" s="8">
        <v>-1.37594816245388e-6</v>
      </c>
      <c r="K223" s="8">
        <v>1.64703421515545</v>
      </c>
      <c r="L223" s="10"/>
      <c r="M223" s="10">
        <f t="shared" si="14"/>
        <v>637.12</v>
      </c>
      <c r="N223" s="18">
        <f t="shared" si="15"/>
        <v>399.12</v>
      </c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5"/>
      <c r="AM223" s="15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5"/>
      <c r="AZ223" s="15"/>
      <c r="BA223" s="16"/>
      <c r="BB223" s="16"/>
      <c r="BC223" s="16"/>
      <c r="BD223" s="16"/>
      <c r="BE223" s="16"/>
      <c r="BF223" s="16"/>
      <c r="BG223" s="16"/>
      <c r="BH223" s="16"/>
      <c r="BI223" s="16"/>
      <c r="BJ223" s="16"/>
      <c r="BK223" s="16"/>
      <c r="BL223" s="15"/>
      <c r="BM223" s="15"/>
      <c r="BN223" s="21"/>
      <c r="BO223" s="16"/>
      <c r="BP223" s="16"/>
      <c r="BQ223" s="16"/>
      <c r="BR223" s="16"/>
      <c r="BS223" s="16"/>
      <c r="BT223" s="16"/>
      <c r="BU223" s="8"/>
      <c r="BV223" s="8"/>
      <c r="BW223" s="8"/>
      <c r="BX223" s="8"/>
      <c r="BY223" s="25"/>
      <c r="BZ223" s="25"/>
      <c r="CA223" s="25"/>
      <c r="CB223" s="25"/>
      <c r="CC223" s="25"/>
      <c r="CD223" s="25"/>
      <c r="CE223" s="25"/>
      <c r="CF223" s="25"/>
      <c r="CG223" s="25"/>
      <c r="CH223" s="25"/>
      <c r="CI223" s="25"/>
      <c r="CJ223" s="25"/>
      <c r="CK223" s="25"/>
      <c r="CL223" s="25"/>
      <c r="CM223" s="25"/>
      <c r="CN223" s="25"/>
      <c r="CO223" s="25"/>
      <c r="CP223" s="25"/>
      <c r="CQ223" s="25"/>
      <c r="CR223" s="25"/>
      <c r="CS223" s="25"/>
      <c r="CT223" s="25"/>
      <c r="CU223" s="25"/>
      <c r="CV223" s="25"/>
      <c r="CW223" s="25"/>
      <c r="CX223" s="25"/>
      <c r="CY223" s="25"/>
      <c r="CZ223" s="25"/>
    </row>
    <row r="224" spans="1:104">
      <c r="A224" s="8" t="s">
        <v>19</v>
      </c>
      <c r="B224" s="8">
        <v>238</v>
      </c>
      <c r="C224" s="8" t="s">
        <v>19</v>
      </c>
      <c r="D224" s="8">
        <v>340</v>
      </c>
      <c r="E224" s="8" t="s">
        <v>20</v>
      </c>
      <c r="F224" s="8">
        <v>729</v>
      </c>
      <c r="G224" s="8" t="s">
        <v>21</v>
      </c>
      <c r="H224" s="8">
        <v>4056</v>
      </c>
      <c r="I224" s="8">
        <v>-2.82191228284496e-7</v>
      </c>
      <c r="J224" s="8">
        <v>-8.8943133558163e-7</v>
      </c>
      <c r="K224" s="8">
        <v>1.5690999027417</v>
      </c>
      <c r="L224" s="10"/>
      <c r="M224" s="10">
        <f t="shared" si="14"/>
        <v>688.08</v>
      </c>
      <c r="N224" s="18">
        <f t="shared" si="15"/>
        <v>450.08</v>
      </c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5"/>
      <c r="AM224" s="15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5"/>
      <c r="AZ224" s="15"/>
      <c r="BA224" s="16"/>
      <c r="BB224" s="16"/>
      <c r="BC224" s="16"/>
      <c r="BD224" s="16"/>
      <c r="BE224" s="16"/>
      <c r="BF224" s="16"/>
      <c r="BG224" s="16"/>
      <c r="BH224" s="16"/>
      <c r="BI224" s="16"/>
      <c r="BJ224" s="16"/>
      <c r="BK224" s="16"/>
      <c r="BL224" s="15"/>
      <c r="BM224" s="15"/>
      <c r="BN224" s="21"/>
      <c r="BO224" s="16"/>
      <c r="BP224" s="16"/>
      <c r="BQ224" s="16"/>
      <c r="BR224" s="16"/>
      <c r="BS224" s="16"/>
      <c r="BT224" s="16"/>
      <c r="BU224" s="8"/>
      <c r="BV224" s="8"/>
      <c r="BW224" s="8"/>
      <c r="BX224" s="8"/>
      <c r="BY224" s="25"/>
      <c r="BZ224" s="25"/>
      <c r="CA224" s="25"/>
      <c r="CB224" s="25"/>
      <c r="CC224" s="25"/>
      <c r="CD224" s="25"/>
      <c r="CE224" s="25"/>
      <c r="CF224" s="25"/>
      <c r="CG224" s="25"/>
      <c r="CH224" s="25"/>
      <c r="CI224" s="25"/>
      <c r="CJ224" s="25"/>
      <c r="CK224" s="25"/>
      <c r="CL224" s="25"/>
      <c r="CM224" s="25"/>
      <c r="CN224" s="25"/>
      <c r="CO224" s="25"/>
      <c r="CP224" s="25"/>
      <c r="CQ224" s="25"/>
      <c r="CR224" s="25"/>
      <c r="CS224" s="25"/>
      <c r="CT224" s="25"/>
      <c r="CU224" s="25"/>
      <c r="CV224" s="25"/>
      <c r="CW224" s="25"/>
      <c r="CX224" s="25"/>
      <c r="CY224" s="25"/>
      <c r="CZ224" s="25"/>
    </row>
    <row r="225" spans="1:104">
      <c r="A225" s="8" t="s">
        <v>19</v>
      </c>
      <c r="B225" s="8">
        <v>238</v>
      </c>
      <c r="C225" s="8" t="s">
        <v>19</v>
      </c>
      <c r="D225" s="8">
        <v>340</v>
      </c>
      <c r="E225" s="8" t="s">
        <v>20</v>
      </c>
      <c r="F225" s="8">
        <v>784</v>
      </c>
      <c r="G225" s="8" t="s">
        <v>21</v>
      </c>
      <c r="H225" s="8">
        <v>4374</v>
      </c>
      <c r="I225" s="8">
        <v>-4.23906682932213e-7</v>
      </c>
      <c r="J225" s="8">
        <v>-9.13271376874471e-7</v>
      </c>
      <c r="K225" s="8">
        <v>1.54965028239185</v>
      </c>
      <c r="L225" s="10"/>
      <c r="M225" s="10">
        <f t="shared" si="14"/>
        <v>744.855</v>
      </c>
      <c r="N225" s="18">
        <f t="shared" si="15"/>
        <v>506.855</v>
      </c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5"/>
      <c r="AM225" s="15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5"/>
      <c r="AZ225" s="15"/>
      <c r="BA225" s="16"/>
      <c r="BB225" s="16"/>
      <c r="BC225" s="16"/>
      <c r="BD225" s="16"/>
      <c r="BE225" s="16"/>
      <c r="BF225" s="16"/>
      <c r="BG225" s="16"/>
      <c r="BH225" s="16"/>
      <c r="BI225" s="16"/>
      <c r="BJ225" s="16"/>
      <c r="BK225" s="16"/>
      <c r="BL225" s="15"/>
      <c r="BM225" s="15"/>
      <c r="BN225" s="21"/>
      <c r="BO225" s="16"/>
      <c r="BP225" s="16"/>
      <c r="BQ225" s="16"/>
      <c r="BR225" s="16"/>
      <c r="BS225" s="16"/>
      <c r="BT225" s="16"/>
      <c r="BU225" s="8"/>
      <c r="BV225" s="8"/>
      <c r="BW225" s="8"/>
      <c r="BX225" s="8"/>
      <c r="BY225" s="25"/>
      <c r="BZ225" s="25"/>
      <c r="CA225" s="25"/>
      <c r="CB225" s="25"/>
      <c r="CC225" s="25"/>
      <c r="CD225" s="25"/>
      <c r="CE225" s="25"/>
      <c r="CF225" s="25"/>
      <c r="CG225" s="25"/>
      <c r="CH225" s="25"/>
      <c r="CI225" s="25"/>
      <c r="CJ225" s="25"/>
      <c r="CK225" s="25"/>
      <c r="CL225" s="25"/>
      <c r="CM225" s="25"/>
      <c r="CN225" s="25"/>
      <c r="CO225" s="25"/>
      <c r="CP225" s="25"/>
      <c r="CQ225" s="25"/>
      <c r="CR225" s="25"/>
      <c r="CS225" s="25"/>
      <c r="CT225" s="25"/>
      <c r="CU225" s="25"/>
      <c r="CV225" s="25"/>
      <c r="CW225" s="25"/>
      <c r="CX225" s="25"/>
      <c r="CY225" s="25"/>
      <c r="CZ225" s="25"/>
    </row>
    <row r="226" spans="1:104">
      <c r="A226" s="8" t="s">
        <v>19</v>
      </c>
      <c r="B226" s="8">
        <v>238</v>
      </c>
      <c r="C226" s="8" t="s">
        <v>19</v>
      </c>
      <c r="D226" s="8">
        <v>340</v>
      </c>
      <c r="E226" s="8" t="s">
        <v>20</v>
      </c>
      <c r="F226" s="8">
        <v>841</v>
      </c>
      <c r="G226" s="8" t="s">
        <v>21</v>
      </c>
      <c r="H226" s="8">
        <v>4704</v>
      </c>
      <c r="I226" s="8">
        <v>-2.46150938718681e-7</v>
      </c>
      <c r="J226" s="8">
        <v>-6.26695416875658e-7</v>
      </c>
      <c r="K226" s="8">
        <v>1.47577512012681</v>
      </c>
      <c r="L226" s="10"/>
      <c r="M226" s="10">
        <f t="shared" si="14"/>
        <v>799.875</v>
      </c>
      <c r="N226" s="18">
        <f t="shared" si="15"/>
        <v>561.875</v>
      </c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5"/>
      <c r="AM226" s="15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5"/>
      <c r="AZ226" s="15"/>
      <c r="BA226" s="16"/>
      <c r="BB226" s="16"/>
      <c r="BC226" s="16"/>
      <c r="BD226" s="16"/>
      <c r="BE226" s="16"/>
      <c r="BF226" s="16"/>
      <c r="BG226" s="16"/>
      <c r="BH226" s="16"/>
      <c r="BI226" s="16"/>
      <c r="BJ226" s="16"/>
      <c r="BK226" s="16"/>
      <c r="BL226" s="15"/>
      <c r="BM226" s="15"/>
      <c r="BN226" s="21"/>
      <c r="BO226" s="16"/>
      <c r="BP226" s="16"/>
      <c r="BQ226" s="16"/>
      <c r="BR226" s="16"/>
      <c r="BS226" s="16"/>
      <c r="BT226" s="16"/>
      <c r="BU226" s="8"/>
      <c r="BV226" s="8"/>
      <c r="BW226" s="8"/>
      <c r="BX226" s="8"/>
      <c r="BY226" s="25"/>
      <c r="BZ226" s="25"/>
      <c r="CA226" s="25"/>
      <c r="CB226" s="25"/>
      <c r="CC226" s="25"/>
      <c r="CD226" s="25"/>
      <c r="CE226" s="25"/>
      <c r="CF226" s="25"/>
      <c r="CG226" s="25"/>
      <c r="CH226" s="25"/>
      <c r="CI226" s="25"/>
      <c r="CJ226" s="25"/>
      <c r="CK226" s="25"/>
      <c r="CL226" s="25"/>
      <c r="CM226" s="25"/>
      <c r="CN226" s="25"/>
      <c r="CO226" s="25"/>
      <c r="CP226" s="25"/>
      <c r="CQ226" s="25"/>
      <c r="CR226" s="25"/>
      <c r="CS226" s="25"/>
      <c r="CT226" s="25"/>
      <c r="CU226" s="25"/>
      <c r="CV226" s="25"/>
      <c r="CW226" s="25"/>
      <c r="CX226" s="25"/>
      <c r="CY226" s="25"/>
      <c r="CZ226" s="25"/>
    </row>
    <row r="227" spans="1:104">
      <c r="A227" s="8" t="s">
        <v>19</v>
      </c>
      <c r="B227" s="8">
        <v>238</v>
      </c>
      <c r="C227" s="8" t="s">
        <v>19</v>
      </c>
      <c r="D227" s="8">
        <v>340</v>
      </c>
      <c r="E227" s="8" t="s">
        <v>20</v>
      </c>
      <c r="F227" s="8">
        <v>900</v>
      </c>
      <c r="G227" s="8" t="s">
        <v>21</v>
      </c>
      <c r="H227" s="8">
        <v>5046</v>
      </c>
      <c r="I227" s="8">
        <v>-4.63508331589026e-7</v>
      </c>
      <c r="J227" s="8">
        <v>-6.62355753460946e-7</v>
      </c>
      <c r="K227" s="8">
        <v>1.43089154995679</v>
      </c>
      <c r="L227" s="10"/>
      <c r="M227" s="10">
        <f t="shared" si="14"/>
        <v>856.855</v>
      </c>
      <c r="N227" s="18">
        <f t="shared" si="15"/>
        <v>618.855</v>
      </c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5"/>
      <c r="AM227" s="15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5"/>
      <c r="AZ227" s="15"/>
      <c r="BA227" s="16"/>
      <c r="BB227" s="16"/>
      <c r="BC227" s="16"/>
      <c r="BD227" s="16"/>
      <c r="BE227" s="16"/>
      <c r="BF227" s="16"/>
      <c r="BG227" s="16"/>
      <c r="BH227" s="16"/>
      <c r="BI227" s="16"/>
      <c r="BJ227" s="16"/>
      <c r="BK227" s="16"/>
      <c r="BL227" s="15"/>
      <c r="BM227" s="15"/>
      <c r="BN227" s="21"/>
      <c r="BO227" s="16"/>
      <c r="BP227" s="16"/>
      <c r="BQ227" s="16"/>
      <c r="BR227" s="16"/>
      <c r="BS227" s="16"/>
      <c r="BT227" s="16"/>
      <c r="BU227" s="8"/>
      <c r="BV227" s="8"/>
      <c r="BW227" s="8"/>
      <c r="BX227" s="8"/>
      <c r="BY227" s="25"/>
      <c r="BZ227" s="25"/>
      <c r="CA227" s="25"/>
      <c r="CB227" s="25"/>
      <c r="CC227" s="25"/>
      <c r="CD227" s="25"/>
      <c r="CE227" s="25"/>
      <c r="CF227" s="25"/>
      <c r="CG227" s="25"/>
      <c r="CH227" s="25"/>
      <c r="CI227" s="25"/>
      <c r="CJ227" s="25"/>
      <c r="CK227" s="25"/>
      <c r="CL227" s="25"/>
      <c r="CM227" s="25"/>
      <c r="CN227" s="25"/>
      <c r="CO227" s="25"/>
      <c r="CP227" s="25"/>
      <c r="CQ227" s="25"/>
      <c r="CR227" s="25"/>
      <c r="CS227" s="25"/>
      <c r="CT227" s="25"/>
      <c r="CU227" s="25"/>
      <c r="CV227" s="25"/>
      <c r="CW227" s="25"/>
      <c r="CX227" s="25"/>
      <c r="CY227" s="25"/>
      <c r="CZ227" s="25"/>
    </row>
    <row r="228" spans="1:104">
      <c r="A228" s="8" t="s">
        <v>19</v>
      </c>
      <c r="B228" s="8">
        <v>238</v>
      </c>
      <c r="C228" s="8" t="s">
        <v>19</v>
      </c>
      <c r="D228" s="8">
        <v>340</v>
      </c>
      <c r="E228" s="8" t="s">
        <v>20</v>
      </c>
      <c r="F228" s="8">
        <v>961</v>
      </c>
      <c r="G228" s="8" t="s">
        <v>21</v>
      </c>
      <c r="H228" s="8">
        <v>5400</v>
      </c>
      <c r="I228" s="8">
        <v>-4.6184208911748e-7</v>
      </c>
      <c r="J228" s="8">
        <v>-5.61403378519272e-7</v>
      </c>
      <c r="K228" s="8">
        <v>1.36781262406432</v>
      </c>
      <c r="L228" s="10"/>
      <c r="M228" s="10">
        <f t="shared" si="14"/>
        <v>915.795</v>
      </c>
      <c r="N228" s="18">
        <f t="shared" si="15"/>
        <v>677.795</v>
      </c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5"/>
      <c r="AM228" s="15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5"/>
      <c r="AZ228" s="15"/>
      <c r="BA228" s="16"/>
      <c r="BB228" s="16"/>
      <c r="BC228" s="16"/>
      <c r="BD228" s="16"/>
      <c r="BE228" s="16"/>
      <c r="BF228" s="16"/>
      <c r="BG228" s="16"/>
      <c r="BH228" s="16"/>
      <c r="BI228" s="16"/>
      <c r="BJ228" s="16"/>
      <c r="BK228" s="16"/>
      <c r="BL228" s="15"/>
      <c r="BM228" s="15"/>
      <c r="BN228" s="21"/>
      <c r="BO228" s="16"/>
      <c r="BP228" s="16"/>
      <c r="BQ228" s="16"/>
      <c r="BR228" s="16"/>
      <c r="BS228" s="16"/>
      <c r="BT228" s="16"/>
      <c r="BU228" s="8"/>
      <c r="BV228" s="8"/>
      <c r="BW228" s="8"/>
      <c r="BX228" s="8"/>
      <c r="BY228" s="25"/>
      <c r="BZ228" s="25"/>
      <c r="CA228" s="25"/>
      <c r="CB228" s="25"/>
      <c r="CC228" s="25"/>
      <c r="CD228" s="25"/>
      <c r="CE228" s="25"/>
      <c r="CF228" s="25"/>
      <c r="CG228" s="25"/>
      <c r="CH228" s="25"/>
      <c r="CI228" s="25"/>
      <c r="CJ228" s="25"/>
      <c r="CK228" s="25"/>
      <c r="CL228" s="25"/>
      <c r="CM228" s="25"/>
      <c r="CN228" s="25"/>
      <c r="CO228" s="25"/>
      <c r="CP228" s="25"/>
      <c r="CQ228" s="25"/>
      <c r="CR228" s="25"/>
      <c r="CS228" s="25"/>
      <c r="CT228" s="25"/>
      <c r="CU228" s="25"/>
      <c r="CV228" s="25"/>
      <c r="CW228" s="25"/>
      <c r="CX228" s="25"/>
      <c r="CY228" s="25"/>
      <c r="CZ228" s="25"/>
    </row>
    <row r="229" spans="1:104">
      <c r="A229" s="8" t="s">
        <v>19</v>
      </c>
      <c r="B229" s="8">
        <v>238</v>
      </c>
      <c r="C229" s="8" t="s">
        <v>19</v>
      </c>
      <c r="D229" s="8">
        <v>340</v>
      </c>
      <c r="E229" s="8" t="s">
        <v>20</v>
      </c>
      <c r="F229" s="8">
        <v>1024</v>
      </c>
      <c r="G229" s="8" t="s">
        <v>21</v>
      </c>
      <c r="H229" s="8">
        <v>5766</v>
      </c>
      <c r="I229" s="8">
        <v>-4.93394342047923e-7</v>
      </c>
      <c r="J229" s="8">
        <v>-5.50835595076052e-7</v>
      </c>
      <c r="K229" s="8">
        <v>1.34365302264648</v>
      </c>
      <c r="L229" s="10"/>
      <c r="M229" s="10">
        <f t="shared" si="14"/>
        <v>976.695</v>
      </c>
      <c r="N229" s="18">
        <f t="shared" si="15"/>
        <v>738.695</v>
      </c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5"/>
      <c r="AM229" s="15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5"/>
      <c r="AZ229" s="15"/>
      <c r="BA229" s="16"/>
      <c r="BB229" s="16"/>
      <c r="BC229" s="16"/>
      <c r="BD229" s="16"/>
      <c r="BE229" s="16"/>
      <c r="BF229" s="16"/>
      <c r="BG229" s="16"/>
      <c r="BH229" s="16"/>
      <c r="BI229" s="16"/>
      <c r="BJ229" s="16"/>
      <c r="BK229" s="16"/>
      <c r="BL229" s="15"/>
      <c r="BM229" s="15"/>
      <c r="BN229" s="21"/>
      <c r="BO229" s="16"/>
      <c r="BP229" s="16"/>
      <c r="BQ229" s="16"/>
      <c r="BR229" s="16"/>
      <c r="BS229" s="16"/>
      <c r="BT229" s="16"/>
      <c r="BU229" s="8"/>
      <c r="BV229" s="8"/>
      <c r="BW229" s="8"/>
      <c r="BX229" s="8"/>
      <c r="BY229" s="25"/>
      <c r="BZ229" s="25"/>
      <c r="CA229" s="25"/>
      <c r="CB229" s="25"/>
      <c r="CC229" s="25"/>
      <c r="CD229" s="25"/>
      <c r="CE229" s="25"/>
      <c r="CF229" s="25"/>
      <c r="CG229" s="25"/>
      <c r="CH229" s="25"/>
      <c r="CI229" s="25"/>
      <c r="CJ229" s="25"/>
      <c r="CK229" s="25"/>
      <c r="CL229" s="25"/>
      <c r="CM229" s="25"/>
      <c r="CN229" s="25"/>
      <c r="CO229" s="25"/>
      <c r="CP229" s="25"/>
      <c r="CQ229" s="25"/>
      <c r="CR229" s="25"/>
      <c r="CS229" s="25"/>
      <c r="CT229" s="25"/>
      <c r="CU229" s="25"/>
      <c r="CV229" s="25"/>
      <c r="CW229" s="25"/>
      <c r="CX229" s="25"/>
      <c r="CY229" s="25"/>
      <c r="CZ229" s="25"/>
    </row>
    <row r="230" spans="1:104">
      <c r="A230" s="8" t="s">
        <v>19</v>
      </c>
      <c r="B230" s="8">
        <v>238</v>
      </c>
      <c r="C230" s="8" t="s">
        <v>19</v>
      </c>
      <c r="D230" s="8">
        <v>340</v>
      </c>
      <c r="E230" s="8" t="s">
        <v>20</v>
      </c>
      <c r="F230" s="8">
        <v>1089</v>
      </c>
      <c r="G230" s="8" t="s">
        <v>21</v>
      </c>
      <c r="H230" s="8">
        <v>6144</v>
      </c>
      <c r="I230" s="8">
        <v>-4.33004903761684e-7</v>
      </c>
      <c r="J230" s="8">
        <v>-4.81076093886497e-7</v>
      </c>
      <c r="K230" s="8">
        <v>1.31210438908014</v>
      </c>
      <c r="L230" s="10"/>
      <c r="M230" s="10">
        <f t="shared" si="14"/>
        <v>1039.555</v>
      </c>
      <c r="N230" s="18">
        <f t="shared" si="15"/>
        <v>801.555</v>
      </c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5"/>
      <c r="AM230" s="15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5"/>
      <c r="AZ230" s="15"/>
      <c r="BA230" s="16"/>
      <c r="BB230" s="16"/>
      <c r="BC230" s="16"/>
      <c r="BD230" s="16"/>
      <c r="BE230" s="16"/>
      <c r="BF230" s="16"/>
      <c r="BG230" s="16"/>
      <c r="BH230" s="16"/>
      <c r="BI230" s="16"/>
      <c r="BJ230" s="16"/>
      <c r="BK230" s="16"/>
      <c r="BL230" s="15"/>
      <c r="BM230" s="15"/>
      <c r="BN230" s="21"/>
      <c r="BO230" s="16"/>
      <c r="BP230" s="16"/>
      <c r="BQ230" s="16"/>
      <c r="BR230" s="16"/>
      <c r="BS230" s="16"/>
      <c r="BT230" s="16"/>
      <c r="BU230" s="8"/>
      <c r="BV230" s="8"/>
      <c r="BW230" s="8"/>
      <c r="BX230" s="8"/>
      <c r="BY230" s="25"/>
      <c r="BZ230" s="25"/>
      <c r="CA230" s="25"/>
      <c r="CB230" s="25"/>
      <c r="CC230" s="25"/>
      <c r="CD230" s="25"/>
      <c r="CE230" s="25"/>
      <c r="CF230" s="25"/>
      <c r="CG230" s="25"/>
      <c r="CH230" s="25"/>
      <c r="CI230" s="25"/>
      <c r="CJ230" s="25"/>
      <c r="CK230" s="25"/>
      <c r="CL230" s="25"/>
      <c r="CM230" s="25"/>
      <c r="CN230" s="25"/>
      <c r="CO230" s="25"/>
      <c r="CP230" s="25"/>
      <c r="CQ230" s="25"/>
      <c r="CR230" s="25"/>
      <c r="CS230" s="25"/>
      <c r="CT230" s="25"/>
      <c r="CU230" s="25"/>
      <c r="CV230" s="25"/>
      <c r="CW230" s="25"/>
      <c r="CX230" s="25"/>
      <c r="CY230" s="25"/>
      <c r="CZ230" s="25"/>
    </row>
    <row r="231" ht="23.25" spans="1:104">
      <c r="A231" s="7" t="s">
        <v>29</v>
      </c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10"/>
      <c r="M231" s="10"/>
      <c r="N231" s="18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5"/>
      <c r="AM231" s="15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5"/>
      <c r="AZ231" s="15"/>
      <c r="BA231" s="20"/>
      <c r="BB231" s="20"/>
      <c r="BC231" s="20"/>
      <c r="BD231" s="20"/>
      <c r="BE231" s="20"/>
      <c r="BF231" s="20"/>
      <c r="BG231" s="20"/>
      <c r="BH231" s="20"/>
      <c r="BI231" s="20"/>
      <c r="BJ231" s="20"/>
      <c r="BK231" s="20"/>
      <c r="BL231" s="15"/>
      <c r="BM231" s="15"/>
      <c r="BN231" s="21"/>
      <c r="BO231" s="16"/>
      <c r="BP231" s="16"/>
      <c r="BQ231" s="16"/>
      <c r="BR231" s="16"/>
      <c r="BS231" s="16"/>
      <c r="BT231" s="16"/>
      <c r="BU231" s="8"/>
      <c r="BV231" s="8"/>
      <c r="BW231" s="8"/>
      <c r="BX231" s="8"/>
      <c r="BY231" s="25"/>
      <c r="BZ231" s="25"/>
      <c r="CA231" s="25"/>
      <c r="CB231" s="25"/>
      <c r="CC231" s="25"/>
      <c r="CD231" s="25"/>
      <c r="CE231" s="25"/>
      <c r="CF231" s="25"/>
      <c r="CG231" s="25"/>
      <c r="CH231" s="25"/>
      <c r="CI231" s="25"/>
      <c r="CJ231" s="25"/>
      <c r="CK231" s="25"/>
      <c r="CL231" s="25"/>
      <c r="CM231" s="25"/>
      <c r="CN231" s="25"/>
      <c r="CO231" s="25"/>
      <c r="CP231" s="25"/>
      <c r="CQ231" s="25"/>
      <c r="CR231" s="25"/>
      <c r="CS231" s="25"/>
      <c r="CT231" s="25"/>
      <c r="CU231" s="25"/>
      <c r="CV231" s="25"/>
      <c r="CW231" s="25"/>
      <c r="CX231" s="25"/>
      <c r="CY231" s="25"/>
      <c r="CZ231" s="25"/>
    </row>
    <row r="232" ht="23.25" spans="1:104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10"/>
      <c r="M232" s="10"/>
      <c r="N232" s="18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5"/>
      <c r="AM232" s="15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5"/>
      <c r="AZ232" s="15"/>
      <c r="BA232" s="20"/>
      <c r="BB232" s="20"/>
      <c r="BC232" s="20"/>
      <c r="BD232" s="20"/>
      <c r="BE232" s="20"/>
      <c r="BF232" s="20"/>
      <c r="BG232" s="20"/>
      <c r="BH232" s="20"/>
      <c r="BI232" s="20"/>
      <c r="BJ232" s="20"/>
      <c r="BK232" s="20"/>
      <c r="BL232" s="15"/>
      <c r="BM232" s="15"/>
      <c r="BN232" s="21"/>
      <c r="BO232" s="14"/>
      <c r="BP232" s="14"/>
      <c r="BQ232" s="14"/>
      <c r="BR232" s="14"/>
      <c r="BS232" s="14"/>
      <c r="BT232" s="14"/>
      <c r="BU232" s="24"/>
      <c r="BV232" s="24"/>
      <c r="BW232" s="24"/>
      <c r="BX232" s="24"/>
      <c r="BY232" s="25"/>
      <c r="BZ232" s="25"/>
      <c r="CA232" s="25"/>
      <c r="CB232" s="25"/>
      <c r="CC232" s="25"/>
      <c r="CD232" s="25"/>
      <c r="CE232" s="25"/>
      <c r="CF232" s="25"/>
      <c r="CG232" s="25"/>
      <c r="CH232" s="25"/>
      <c r="CI232" s="25"/>
      <c r="CJ232" s="25"/>
      <c r="CK232" s="25"/>
      <c r="CL232" s="25"/>
      <c r="CM232" s="25"/>
      <c r="CN232" s="25"/>
      <c r="CO232" s="25"/>
      <c r="CP232" s="25"/>
      <c r="CQ232" s="25"/>
      <c r="CR232" s="25"/>
      <c r="CS232" s="25"/>
      <c r="CT232" s="25"/>
      <c r="CU232" s="25"/>
      <c r="CV232" s="25"/>
      <c r="CW232" s="25"/>
      <c r="CX232" s="25"/>
      <c r="CY232" s="25"/>
      <c r="CZ232" s="25"/>
    </row>
    <row r="233" ht="23.25" spans="1:104">
      <c r="A233" s="8" t="s">
        <v>7</v>
      </c>
      <c r="B233" s="8" t="s">
        <v>8</v>
      </c>
      <c r="C233" s="8" t="s">
        <v>9</v>
      </c>
      <c r="D233" s="8" t="s">
        <v>10</v>
      </c>
      <c r="E233" s="8" t="s">
        <v>11</v>
      </c>
      <c r="F233" s="8" t="s">
        <v>12</v>
      </c>
      <c r="G233" s="8" t="s">
        <v>13</v>
      </c>
      <c r="H233" s="8" t="s">
        <v>14</v>
      </c>
      <c r="I233" s="8" t="s">
        <v>15</v>
      </c>
      <c r="J233" s="8" t="s">
        <v>16</v>
      </c>
      <c r="K233" s="8" t="s">
        <v>17</v>
      </c>
      <c r="L233" s="10"/>
      <c r="M233" s="10"/>
      <c r="N233" s="18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5"/>
      <c r="AM233" s="15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5"/>
      <c r="AZ233" s="15"/>
      <c r="BA233" s="16"/>
      <c r="BB233" s="16"/>
      <c r="BC233" s="16"/>
      <c r="BD233" s="16"/>
      <c r="BE233" s="16"/>
      <c r="BF233" s="16"/>
      <c r="BG233" s="16"/>
      <c r="BH233" s="16"/>
      <c r="BI233" s="16"/>
      <c r="BJ233" s="16"/>
      <c r="BK233" s="16"/>
      <c r="BL233" s="15"/>
      <c r="BM233" s="15"/>
      <c r="BN233" s="21"/>
      <c r="BO233" s="14"/>
      <c r="BP233" s="14"/>
      <c r="BQ233" s="14"/>
      <c r="BR233" s="14"/>
      <c r="BS233" s="14"/>
      <c r="BT233" s="14"/>
      <c r="BU233" s="24"/>
      <c r="BV233" s="24"/>
      <c r="BW233" s="24"/>
      <c r="BX233" s="24"/>
      <c r="BY233" s="25"/>
      <c r="BZ233" s="25"/>
      <c r="CA233" s="25"/>
      <c r="CB233" s="25"/>
      <c r="CC233" s="25"/>
      <c r="CD233" s="25"/>
      <c r="CE233" s="25"/>
      <c r="CF233" s="25"/>
      <c r="CG233" s="25"/>
      <c r="CH233" s="25"/>
      <c r="CI233" s="25"/>
      <c r="CJ233" s="25"/>
      <c r="CK233" s="25"/>
      <c r="CL233" s="25"/>
      <c r="CM233" s="25"/>
      <c r="CN233" s="25"/>
      <c r="CO233" s="25"/>
      <c r="CP233" s="25"/>
      <c r="CQ233" s="25"/>
      <c r="CR233" s="25"/>
      <c r="CS233" s="25"/>
      <c r="CT233" s="25"/>
      <c r="CU233" s="25"/>
      <c r="CV233" s="25"/>
      <c r="CW233" s="25"/>
      <c r="CX233" s="25"/>
      <c r="CY233" s="25"/>
      <c r="CZ233" s="25"/>
    </row>
    <row r="234" spans="1:104">
      <c r="A234" s="8" t="s">
        <v>19</v>
      </c>
      <c r="B234" s="8">
        <v>256</v>
      </c>
      <c r="C234" s="8" t="s">
        <v>19</v>
      </c>
      <c r="D234" s="8">
        <v>340</v>
      </c>
      <c r="E234" s="8" t="s">
        <v>20</v>
      </c>
      <c r="F234" s="8">
        <v>225</v>
      </c>
      <c r="G234" s="8" t="s">
        <v>21</v>
      </c>
      <c r="H234" s="8">
        <v>1176</v>
      </c>
      <c r="I234" s="8">
        <v>-1.89400913922837</v>
      </c>
      <c r="J234" s="8">
        <v>-1.85789851232589</v>
      </c>
      <c r="K234" s="8">
        <v>-0.756770981395328</v>
      </c>
      <c r="L234" s="10"/>
      <c r="M234" s="10">
        <f t="shared" ref="M234:M252" si="16">(FLOOR(((SQRT(1+8*F234)-3))/2,0.1)*(FLOOR(((SQRT(1+8*F234)-3))/2,0.1)+1))/2</f>
        <v>203.895</v>
      </c>
      <c r="N234" s="18">
        <f t="shared" ref="N234:N252" si="17">ABS(B234-M234)</f>
        <v>52.1049999999999</v>
      </c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5"/>
      <c r="AM234" s="15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5"/>
      <c r="AZ234" s="15"/>
      <c r="BA234" s="16"/>
      <c r="BB234" s="16"/>
      <c r="BC234" s="16"/>
      <c r="BD234" s="16"/>
      <c r="BE234" s="16"/>
      <c r="BF234" s="16"/>
      <c r="BG234" s="16"/>
      <c r="BH234" s="16"/>
      <c r="BI234" s="16"/>
      <c r="BJ234" s="16"/>
      <c r="BK234" s="16"/>
      <c r="BL234" s="15"/>
      <c r="BM234" s="15"/>
      <c r="BN234" s="21"/>
      <c r="BO234" s="15"/>
      <c r="BP234" s="15"/>
      <c r="BQ234" s="15"/>
      <c r="BR234" s="15"/>
      <c r="BS234" s="15"/>
      <c r="BT234" s="15"/>
      <c r="BU234" s="10"/>
      <c r="BV234" s="10"/>
      <c r="BW234" s="10"/>
      <c r="BX234" s="10"/>
      <c r="BY234" s="25"/>
      <c r="BZ234" s="25"/>
      <c r="CA234" s="25"/>
      <c r="CB234" s="25"/>
      <c r="CC234" s="25"/>
      <c r="CD234" s="25"/>
      <c r="CE234" s="25"/>
      <c r="CF234" s="25"/>
      <c r="CG234" s="25"/>
      <c r="CH234" s="25"/>
      <c r="CI234" s="25"/>
      <c r="CJ234" s="25"/>
      <c r="CK234" s="25"/>
      <c r="CL234" s="25"/>
      <c r="CM234" s="25"/>
      <c r="CN234" s="25"/>
      <c r="CO234" s="25"/>
      <c r="CP234" s="25"/>
      <c r="CQ234" s="25"/>
      <c r="CR234" s="25"/>
      <c r="CS234" s="25"/>
      <c r="CT234" s="25"/>
      <c r="CU234" s="25"/>
      <c r="CV234" s="25"/>
      <c r="CW234" s="25"/>
      <c r="CX234" s="25"/>
      <c r="CY234" s="25"/>
      <c r="CZ234" s="25"/>
    </row>
    <row r="235" ht="23.25" spans="1:76">
      <c r="A235" s="8" t="s">
        <v>19</v>
      </c>
      <c r="B235" s="8">
        <v>256</v>
      </c>
      <c r="C235" s="8" t="s">
        <v>19</v>
      </c>
      <c r="D235" s="8">
        <v>340</v>
      </c>
      <c r="E235" s="8" t="s">
        <v>20</v>
      </c>
      <c r="F235" s="8">
        <v>256</v>
      </c>
      <c r="G235" s="8" t="s">
        <v>21</v>
      </c>
      <c r="H235" s="8">
        <v>1350</v>
      </c>
      <c r="I235" s="8">
        <v>-2.12106998211353</v>
      </c>
      <c r="J235" s="8">
        <v>-1.75972569074602</v>
      </c>
      <c r="K235" s="8">
        <v>-0.395428307323645</v>
      </c>
      <c r="L235" s="26"/>
      <c r="M235" s="10">
        <f t="shared" si="16"/>
        <v>233.155</v>
      </c>
      <c r="N235" s="18">
        <f t="shared" si="17"/>
        <v>22.845</v>
      </c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2"/>
      <c r="AM235" s="2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2"/>
      <c r="AZ235" s="2"/>
      <c r="BA235" s="16"/>
      <c r="BB235" s="16"/>
      <c r="BC235" s="16"/>
      <c r="BD235" s="16"/>
      <c r="BE235" s="16"/>
      <c r="BF235" s="16"/>
      <c r="BG235" s="16"/>
      <c r="BH235" s="16"/>
      <c r="BI235" s="16"/>
      <c r="BJ235" s="16"/>
      <c r="BK235" s="16"/>
      <c r="BL235" s="2"/>
      <c r="BM235" s="15"/>
      <c r="BN235" s="21"/>
      <c r="BO235" s="16"/>
      <c r="BP235" s="16"/>
      <c r="BQ235" s="16"/>
      <c r="BR235" s="16"/>
      <c r="BS235" s="16"/>
      <c r="BT235" s="16"/>
      <c r="BU235" s="8"/>
      <c r="BV235" s="8"/>
      <c r="BW235" s="8"/>
      <c r="BX235" s="8"/>
    </row>
    <row r="236" ht="23.25" spans="1:76">
      <c r="A236" s="9" t="s">
        <v>19</v>
      </c>
      <c r="B236" s="9">
        <v>256</v>
      </c>
      <c r="C236" s="9" t="s">
        <v>19</v>
      </c>
      <c r="D236" s="9">
        <v>340</v>
      </c>
      <c r="E236" s="9" t="s">
        <v>20</v>
      </c>
      <c r="F236" s="9">
        <v>289</v>
      </c>
      <c r="G236" s="9" t="s">
        <v>21</v>
      </c>
      <c r="H236" s="9">
        <v>1536</v>
      </c>
      <c r="I236" s="9">
        <v>-1.93210684713219</v>
      </c>
      <c r="J236" s="9">
        <v>-1.57375812334835</v>
      </c>
      <c r="K236" s="9">
        <v>-0.0381125929888719</v>
      </c>
      <c r="L236" s="27"/>
      <c r="M236" s="11">
        <f t="shared" si="16"/>
        <v>264.375</v>
      </c>
      <c r="N236" s="18">
        <f t="shared" si="17"/>
        <v>8.375</v>
      </c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2"/>
      <c r="AM236" s="2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2"/>
      <c r="AZ236" s="2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8"/>
      <c r="BM236" s="22"/>
      <c r="BN236" s="21"/>
      <c r="BO236" s="16"/>
      <c r="BP236" s="16"/>
      <c r="BQ236" s="16"/>
      <c r="BR236" s="16"/>
      <c r="BS236" s="16"/>
      <c r="BT236" s="16"/>
      <c r="BU236" s="8"/>
      <c r="BV236" s="8"/>
      <c r="BW236" s="8"/>
      <c r="BX236" s="8"/>
    </row>
    <row r="237" spans="1:76">
      <c r="A237" s="8" t="s">
        <v>19</v>
      </c>
      <c r="B237" s="8">
        <v>256</v>
      </c>
      <c r="C237" s="8" t="s">
        <v>19</v>
      </c>
      <c r="D237" s="8">
        <v>340</v>
      </c>
      <c r="E237" s="8" t="s">
        <v>20</v>
      </c>
      <c r="F237" s="8">
        <v>324</v>
      </c>
      <c r="G237" s="8" t="s">
        <v>21</v>
      </c>
      <c r="H237" s="8">
        <v>1734</v>
      </c>
      <c r="I237" s="8">
        <v>-1.33494276937526</v>
      </c>
      <c r="J237" s="8">
        <v>-1.12305558221247</v>
      </c>
      <c r="K237" s="8">
        <v>0.545202580018066</v>
      </c>
      <c r="L237" s="26"/>
      <c r="M237" s="10">
        <f t="shared" si="16"/>
        <v>297.555</v>
      </c>
      <c r="N237" s="18">
        <f t="shared" si="17"/>
        <v>41.5550000000001</v>
      </c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16"/>
      <c r="BB237" s="16"/>
      <c r="BC237" s="16"/>
      <c r="BD237" s="16"/>
      <c r="BE237" s="16"/>
      <c r="BF237" s="16"/>
      <c r="BG237" s="16"/>
      <c r="BH237" s="16"/>
      <c r="BI237" s="16"/>
      <c r="BJ237" s="16"/>
      <c r="BK237" s="16"/>
      <c r="BL237" s="2"/>
      <c r="BM237" s="15"/>
      <c r="BN237" s="21"/>
      <c r="BO237" s="16"/>
      <c r="BP237" s="16"/>
      <c r="BQ237" s="16"/>
      <c r="BR237" s="16"/>
      <c r="BS237" s="16"/>
      <c r="BT237" s="16"/>
      <c r="BU237" s="8"/>
      <c r="BV237" s="8"/>
      <c r="BW237" s="8"/>
      <c r="BX237" s="8"/>
    </row>
    <row r="238" spans="1:76">
      <c r="A238" s="8" t="s">
        <v>19</v>
      </c>
      <c r="B238" s="8">
        <v>256</v>
      </c>
      <c r="C238" s="8" t="s">
        <v>19</v>
      </c>
      <c r="D238" s="8">
        <v>340</v>
      </c>
      <c r="E238" s="8" t="s">
        <v>20</v>
      </c>
      <c r="F238" s="8">
        <v>361</v>
      </c>
      <c r="G238" s="8" t="s">
        <v>21</v>
      </c>
      <c r="H238" s="8">
        <v>1944</v>
      </c>
      <c r="I238" s="8">
        <v>-0.940820210063233</v>
      </c>
      <c r="J238" s="8">
        <v>-0.826628582935643</v>
      </c>
      <c r="K238" s="8">
        <v>1.02981303976258</v>
      </c>
      <c r="L238" s="26"/>
      <c r="M238" s="10">
        <f t="shared" si="16"/>
        <v>332.695</v>
      </c>
      <c r="N238" s="18">
        <f t="shared" si="17"/>
        <v>76.695</v>
      </c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2"/>
      <c r="AM238" s="2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2"/>
      <c r="AZ238" s="2"/>
      <c r="BA238" s="16"/>
      <c r="BB238" s="16"/>
      <c r="BC238" s="16"/>
      <c r="BD238" s="16"/>
      <c r="BE238" s="16"/>
      <c r="BF238" s="16"/>
      <c r="BG238" s="16"/>
      <c r="BH238" s="16"/>
      <c r="BI238" s="16"/>
      <c r="BJ238" s="16"/>
      <c r="BK238" s="16"/>
      <c r="BL238" s="2"/>
      <c r="BM238" s="15"/>
      <c r="BN238" s="21"/>
      <c r="BO238" s="16"/>
      <c r="BP238" s="16"/>
      <c r="BQ238" s="16"/>
      <c r="BR238" s="16"/>
      <c r="BS238" s="16"/>
      <c r="BT238" s="16"/>
      <c r="BU238" s="8"/>
      <c r="BV238" s="8"/>
      <c r="BW238" s="8"/>
      <c r="BX238" s="8"/>
    </row>
    <row r="239" ht="23.25" spans="1:76">
      <c r="A239" s="8" t="s">
        <v>19</v>
      </c>
      <c r="B239" s="8">
        <v>256</v>
      </c>
      <c r="C239" s="8" t="s">
        <v>19</v>
      </c>
      <c r="D239" s="8">
        <v>340</v>
      </c>
      <c r="E239" s="8" t="s">
        <v>20</v>
      </c>
      <c r="F239" s="8">
        <v>400</v>
      </c>
      <c r="G239" s="8" t="s">
        <v>21</v>
      </c>
      <c r="H239" s="8">
        <v>2166</v>
      </c>
      <c r="I239" s="8">
        <v>-0.241558437270473</v>
      </c>
      <c r="J239" s="8">
        <v>-0.221480148076069</v>
      </c>
      <c r="K239" s="8">
        <v>1.7447728745182</v>
      </c>
      <c r="L239" s="26"/>
      <c r="M239" s="10">
        <f t="shared" si="16"/>
        <v>369.795</v>
      </c>
      <c r="N239" s="18">
        <f t="shared" si="17"/>
        <v>113.795</v>
      </c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2"/>
      <c r="AM239" s="2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2"/>
      <c r="AZ239" s="2"/>
      <c r="BA239" s="16"/>
      <c r="BB239" s="16"/>
      <c r="BC239" s="16"/>
      <c r="BD239" s="16"/>
      <c r="BE239" s="16"/>
      <c r="BF239" s="16"/>
      <c r="BG239" s="16"/>
      <c r="BH239" s="16"/>
      <c r="BI239" s="16"/>
      <c r="BJ239" s="16"/>
      <c r="BK239" s="16"/>
      <c r="BL239" s="2"/>
      <c r="BM239" s="15"/>
      <c r="BN239" s="21"/>
      <c r="BO239" s="16"/>
      <c r="BP239" s="16"/>
      <c r="BQ239" s="16"/>
      <c r="BR239" s="16"/>
      <c r="BS239" s="16"/>
      <c r="BT239" s="16"/>
      <c r="BU239" s="8"/>
      <c r="BV239" s="8"/>
      <c r="BW239" s="8"/>
      <c r="BX239" s="8"/>
    </row>
    <row r="240" ht="23.25" spans="1:76">
      <c r="A240" s="8" t="s">
        <v>19</v>
      </c>
      <c r="B240" s="8">
        <v>256</v>
      </c>
      <c r="C240" s="8" t="s">
        <v>19</v>
      </c>
      <c r="D240" s="8">
        <v>340</v>
      </c>
      <c r="E240" s="8" t="s">
        <v>20</v>
      </c>
      <c r="F240" s="8">
        <v>441</v>
      </c>
      <c r="G240" s="8" t="s">
        <v>21</v>
      </c>
      <c r="H240" s="8">
        <v>2400</v>
      </c>
      <c r="I240" s="8">
        <v>-0.0310345422990192</v>
      </c>
      <c r="J240" s="8">
        <v>-0.0356263796133286</v>
      </c>
      <c r="K240" s="8">
        <v>2.26039745896819</v>
      </c>
      <c r="L240" s="26"/>
      <c r="M240" s="10">
        <f t="shared" si="16"/>
        <v>411.72</v>
      </c>
      <c r="N240" s="18">
        <f t="shared" si="17"/>
        <v>155.72</v>
      </c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2"/>
      <c r="AM240" s="2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  <c r="AY240" s="2"/>
      <c r="AZ240" s="2"/>
      <c r="BA240" s="16"/>
      <c r="BB240" s="16"/>
      <c r="BC240" s="16"/>
      <c r="BD240" s="16"/>
      <c r="BE240" s="16"/>
      <c r="BF240" s="16"/>
      <c r="BG240" s="16"/>
      <c r="BH240" s="16"/>
      <c r="BI240" s="16"/>
      <c r="BJ240" s="16"/>
      <c r="BK240" s="16"/>
      <c r="BL240" s="2"/>
      <c r="BM240" s="15"/>
      <c r="BN240" s="21"/>
      <c r="BO240" s="16"/>
      <c r="BP240" s="16"/>
      <c r="BQ240" s="16"/>
      <c r="BR240" s="16"/>
      <c r="BS240" s="16"/>
      <c r="BT240" s="16"/>
      <c r="BU240" s="8"/>
      <c r="BV240" s="8"/>
      <c r="BW240" s="8"/>
      <c r="BX240" s="8"/>
    </row>
    <row r="241" spans="1:76">
      <c r="A241" s="8" t="s">
        <v>19</v>
      </c>
      <c r="B241" s="8">
        <v>256</v>
      </c>
      <c r="C241" s="8" t="s">
        <v>19</v>
      </c>
      <c r="D241" s="8">
        <v>340</v>
      </c>
      <c r="E241" s="8" t="s">
        <v>20</v>
      </c>
      <c r="F241" s="8">
        <v>484</v>
      </c>
      <c r="G241" s="8" t="s">
        <v>21</v>
      </c>
      <c r="H241" s="8">
        <v>2646</v>
      </c>
      <c r="I241" s="8">
        <v>1.95361735338815e-5</v>
      </c>
      <c r="J241" s="8">
        <v>-3.44026707023464e-5</v>
      </c>
      <c r="K241" s="8">
        <v>2.38090145787278</v>
      </c>
      <c r="L241" s="26"/>
      <c r="M241" s="10">
        <f t="shared" si="16"/>
        <v>452.88</v>
      </c>
      <c r="N241" s="18">
        <f t="shared" si="17"/>
        <v>196.88</v>
      </c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2"/>
      <c r="AZ241" s="2"/>
      <c r="BA241" s="16"/>
      <c r="BB241" s="16"/>
      <c r="BC241" s="16"/>
      <c r="BD241" s="16"/>
      <c r="BE241" s="16"/>
      <c r="BF241" s="16"/>
      <c r="BG241" s="16"/>
      <c r="BH241" s="16"/>
      <c r="BI241" s="16"/>
      <c r="BJ241" s="16"/>
      <c r="BK241" s="16"/>
      <c r="BL241" s="2"/>
      <c r="BM241" s="15"/>
      <c r="BN241" s="21"/>
      <c r="BO241" s="16"/>
      <c r="BP241" s="16"/>
      <c r="BQ241" s="16"/>
      <c r="BR241" s="16"/>
      <c r="BS241" s="16"/>
      <c r="BT241" s="16"/>
      <c r="BU241" s="8"/>
      <c r="BV241" s="8"/>
      <c r="BW241" s="8"/>
      <c r="BX241" s="8"/>
    </row>
    <row r="242" spans="1:76">
      <c r="A242" s="8" t="s">
        <v>19</v>
      </c>
      <c r="B242" s="8">
        <v>256</v>
      </c>
      <c r="C242" s="8" t="s">
        <v>19</v>
      </c>
      <c r="D242" s="8">
        <v>340</v>
      </c>
      <c r="E242" s="8" t="s">
        <v>20</v>
      </c>
      <c r="F242" s="8">
        <v>529</v>
      </c>
      <c r="G242" s="8" t="s">
        <v>21</v>
      </c>
      <c r="H242" s="8">
        <v>2904</v>
      </c>
      <c r="I242" s="8">
        <v>-2.35342833279623e-6</v>
      </c>
      <c r="J242" s="8">
        <v>-5.20190675772447e-6</v>
      </c>
      <c r="K242" s="8">
        <v>1.92448589708659</v>
      </c>
      <c r="L242" s="26"/>
      <c r="M242" s="10">
        <f t="shared" si="16"/>
        <v>496</v>
      </c>
      <c r="N242" s="18">
        <f t="shared" si="17"/>
        <v>240</v>
      </c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2"/>
      <c r="AM242" s="2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  <c r="AY242" s="2"/>
      <c r="AZ242" s="2"/>
      <c r="BA242" s="16"/>
      <c r="BB242" s="16"/>
      <c r="BC242" s="16"/>
      <c r="BD242" s="16"/>
      <c r="BE242" s="16"/>
      <c r="BF242" s="16"/>
      <c r="BG242" s="16"/>
      <c r="BH242" s="16"/>
      <c r="BI242" s="16"/>
      <c r="BJ242" s="16"/>
      <c r="BK242" s="16"/>
      <c r="BL242" s="2"/>
      <c r="BM242" s="15"/>
      <c r="BN242" s="21"/>
      <c r="BO242" s="16"/>
      <c r="BP242" s="16"/>
      <c r="BQ242" s="16"/>
      <c r="BR242" s="16"/>
      <c r="BS242" s="16"/>
      <c r="BT242" s="16"/>
      <c r="BU242" s="8"/>
      <c r="BV242" s="8"/>
      <c r="BW242" s="8"/>
      <c r="BX242" s="8"/>
    </row>
    <row r="243" spans="1:76">
      <c r="A243" s="8" t="s">
        <v>19</v>
      </c>
      <c r="B243" s="8">
        <v>256</v>
      </c>
      <c r="C243" s="8" t="s">
        <v>19</v>
      </c>
      <c r="D243" s="8">
        <v>340</v>
      </c>
      <c r="E243" s="8" t="s">
        <v>20</v>
      </c>
      <c r="F243" s="8">
        <v>576</v>
      </c>
      <c r="G243" s="8" t="s">
        <v>21</v>
      </c>
      <c r="H243" s="8">
        <v>3174</v>
      </c>
      <c r="I243" s="8">
        <v>-9.52444671270198e-7</v>
      </c>
      <c r="J243" s="8">
        <v>-2.25208236200703e-6</v>
      </c>
      <c r="K243" s="8">
        <v>1.75308260352194</v>
      </c>
      <c r="L243" s="26"/>
      <c r="M243" s="10">
        <f t="shared" si="16"/>
        <v>541.08</v>
      </c>
      <c r="N243" s="18">
        <f t="shared" si="17"/>
        <v>285.08</v>
      </c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2"/>
      <c r="AM243" s="2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2"/>
      <c r="AZ243" s="2"/>
      <c r="BA243" s="16"/>
      <c r="BB243" s="16"/>
      <c r="BC243" s="16"/>
      <c r="BD243" s="16"/>
      <c r="BE243" s="16"/>
      <c r="BF243" s="16"/>
      <c r="BG243" s="16"/>
      <c r="BH243" s="16"/>
      <c r="BI243" s="16"/>
      <c r="BJ243" s="16"/>
      <c r="BK243" s="16"/>
      <c r="BL243" s="2"/>
      <c r="BM243" s="15"/>
      <c r="BN243" s="21"/>
      <c r="BO243" s="16"/>
      <c r="BP243" s="16"/>
      <c r="BQ243" s="16"/>
      <c r="BR243" s="16"/>
      <c r="BS243" s="16"/>
      <c r="BT243" s="16"/>
      <c r="BU243" s="8"/>
      <c r="BV243" s="8"/>
      <c r="BW243" s="8"/>
      <c r="BX243" s="8"/>
    </row>
    <row r="244" spans="1:76">
      <c r="A244" s="8" t="s">
        <v>19</v>
      </c>
      <c r="B244" s="8">
        <v>256</v>
      </c>
      <c r="C244" s="8" t="s">
        <v>19</v>
      </c>
      <c r="D244" s="8">
        <v>340</v>
      </c>
      <c r="E244" s="8" t="s">
        <v>20</v>
      </c>
      <c r="F244" s="8">
        <v>625</v>
      </c>
      <c r="G244" s="8" t="s">
        <v>21</v>
      </c>
      <c r="H244" s="8">
        <v>3456</v>
      </c>
      <c r="I244" s="8">
        <v>-1.15301845589144e-6</v>
      </c>
      <c r="J244" s="8">
        <v>-1.75451559611173e-6</v>
      </c>
      <c r="K244" s="8">
        <v>1.66090611315053</v>
      </c>
      <c r="L244" s="26"/>
      <c r="M244" s="10">
        <f t="shared" si="16"/>
        <v>588.12</v>
      </c>
      <c r="N244" s="18">
        <f t="shared" si="17"/>
        <v>332.12</v>
      </c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2"/>
      <c r="AM244" s="2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2"/>
      <c r="AZ244" s="2"/>
      <c r="BA244" s="16"/>
      <c r="BB244" s="16"/>
      <c r="BC244" s="16"/>
      <c r="BD244" s="16"/>
      <c r="BE244" s="16"/>
      <c r="BF244" s="16"/>
      <c r="BG244" s="16"/>
      <c r="BH244" s="16"/>
      <c r="BI244" s="16"/>
      <c r="BJ244" s="16"/>
      <c r="BK244" s="16"/>
      <c r="BL244" s="2"/>
      <c r="BM244" s="15"/>
      <c r="BN244" s="21"/>
      <c r="BO244" s="16"/>
      <c r="BP244" s="16"/>
      <c r="BQ244" s="16"/>
      <c r="BR244" s="16"/>
      <c r="BS244" s="16"/>
      <c r="BT244" s="16"/>
      <c r="BU244" s="8"/>
      <c r="BV244" s="8"/>
      <c r="BW244" s="8"/>
      <c r="BX244" s="8"/>
    </row>
    <row r="245" spans="1:76">
      <c r="A245" s="8" t="s">
        <v>19</v>
      </c>
      <c r="B245" s="8">
        <v>256</v>
      </c>
      <c r="C245" s="8" t="s">
        <v>19</v>
      </c>
      <c r="D245" s="8">
        <v>340</v>
      </c>
      <c r="E245" s="8" t="s">
        <v>20</v>
      </c>
      <c r="F245" s="8">
        <v>676</v>
      </c>
      <c r="G245" s="8" t="s">
        <v>21</v>
      </c>
      <c r="H245" s="8">
        <v>3750</v>
      </c>
      <c r="I245" s="8">
        <v>-5.39610401169637e-7</v>
      </c>
      <c r="J245" s="8">
        <v>-1.10685054876068e-6</v>
      </c>
      <c r="K245" s="8">
        <v>1.58697739894882</v>
      </c>
      <c r="L245" s="26"/>
      <c r="M245" s="10">
        <f t="shared" si="16"/>
        <v>637.12</v>
      </c>
      <c r="N245" s="18">
        <f t="shared" si="17"/>
        <v>381.12</v>
      </c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2"/>
      <c r="AM245" s="2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2"/>
      <c r="AZ245" s="2"/>
      <c r="BA245" s="16"/>
      <c r="BB245" s="16"/>
      <c r="BC245" s="16"/>
      <c r="BD245" s="16"/>
      <c r="BE245" s="16"/>
      <c r="BF245" s="16"/>
      <c r="BG245" s="16"/>
      <c r="BH245" s="16"/>
      <c r="BI245" s="16"/>
      <c r="BJ245" s="16"/>
      <c r="BK245" s="16"/>
      <c r="BL245" s="2"/>
      <c r="BM245" s="15"/>
      <c r="BN245" s="21"/>
      <c r="BO245" s="16"/>
      <c r="BP245" s="16"/>
      <c r="BQ245" s="16"/>
      <c r="BR245" s="16"/>
      <c r="BS245" s="16"/>
      <c r="BT245" s="16"/>
      <c r="BU245" s="8"/>
      <c r="BV245" s="8"/>
      <c r="BW245" s="8"/>
      <c r="BX245" s="8"/>
    </row>
    <row r="246" spans="1:76">
      <c r="A246" s="8" t="s">
        <v>19</v>
      </c>
      <c r="B246" s="8">
        <v>256</v>
      </c>
      <c r="C246" s="8" t="s">
        <v>19</v>
      </c>
      <c r="D246" s="8">
        <v>340</v>
      </c>
      <c r="E246" s="8" t="s">
        <v>20</v>
      </c>
      <c r="F246" s="8">
        <v>729</v>
      </c>
      <c r="G246" s="8" t="s">
        <v>21</v>
      </c>
      <c r="H246" s="8">
        <v>4056</v>
      </c>
      <c r="I246" s="8">
        <v>-3.21304824132301e-7</v>
      </c>
      <c r="J246" s="8">
        <v>-7.79115288518068e-7</v>
      </c>
      <c r="K246" s="8">
        <v>1.52264170824502</v>
      </c>
      <c r="L246" s="26"/>
      <c r="M246" s="10">
        <f t="shared" si="16"/>
        <v>688.08</v>
      </c>
      <c r="N246" s="18">
        <f t="shared" si="17"/>
        <v>432.08</v>
      </c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2"/>
      <c r="AM246" s="2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2"/>
      <c r="AZ246" s="2"/>
      <c r="BA246" s="16"/>
      <c r="BB246" s="16"/>
      <c r="BC246" s="16"/>
      <c r="BD246" s="16"/>
      <c r="BE246" s="16"/>
      <c r="BF246" s="16"/>
      <c r="BG246" s="16"/>
      <c r="BH246" s="16"/>
      <c r="BI246" s="16"/>
      <c r="BJ246" s="16"/>
      <c r="BK246" s="16"/>
      <c r="BL246" s="2"/>
      <c r="BM246" s="15"/>
      <c r="BN246" s="21"/>
      <c r="BO246" s="16"/>
      <c r="BP246" s="16"/>
      <c r="BQ246" s="16"/>
      <c r="BR246" s="16"/>
      <c r="BS246" s="16"/>
      <c r="BT246" s="16"/>
      <c r="BU246" s="8"/>
      <c r="BV246" s="8"/>
      <c r="BW246" s="8"/>
      <c r="BX246" s="8"/>
    </row>
    <row r="247" spans="1:76">
      <c r="A247" s="8" t="s">
        <v>19</v>
      </c>
      <c r="B247" s="8">
        <v>256</v>
      </c>
      <c r="C247" s="8" t="s">
        <v>19</v>
      </c>
      <c r="D247" s="8">
        <v>340</v>
      </c>
      <c r="E247" s="8" t="s">
        <v>20</v>
      </c>
      <c r="F247" s="8">
        <v>784</v>
      </c>
      <c r="G247" s="8" t="s">
        <v>21</v>
      </c>
      <c r="H247" s="8">
        <v>4374</v>
      </c>
      <c r="I247" s="8">
        <v>-5.35070361801423e-7</v>
      </c>
      <c r="J247" s="8">
        <v>-7.73915819206977e-7</v>
      </c>
      <c r="K247" s="8">
        <v>1.46912026201959</v>
      </c>
      <c r="L247" s="26"/>
      <c r="M247" s="10">
        <f t="shared" si="16"/>
        <v>744.855</v>
      </c>
      <c r="N247" s="18">
        <f t="shared" si="17"/>
        <v>488.855</v>
      </c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2"/>
      <c r="AM247" s="2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2"/>
      <c r="AZ247" s="2"/>
      <c r="BA247" s="16"/>
      <c r="BB247" s="16"/>
      <c r="BC247" s="16"/>
      <c r="BD247" s="16"/>
      <c r="BE247" s="16"/>
      <c r="BF247" s="16"/>
      <c r="BG247" s="16"/>
      <c r="BH247" s="16"/>
      <c r="BI247" s="16"/>
      <c r="BJ247" s="16"/>
      <c r="BK247" s="16"/>
      <c r="BL247" s="2"/>
      <c r="BM247" s="15"/>
      <c r="BN247" s="21"/>
      <c r="BO247" s="16"/>
      <c r="BP247" s="16"/>
      <c r="BQ247" s="16"/>
      <c r="BR247" s="16"/>
      <c r="BS247" s="16"/>
      <c r="BT247" s="16"/>
      <c r="BU247" s="8"/>
      <c r="BV247" s="8"/>
      <c r="BW247" s="8"/>
      <c r="BX247" s="8"/>
    </row>
    <row r="248" spans="1:76">
      <c r="A248" s="8" t="s">
        <v>19</v>
      </c>
      <c r="B248" s="8">
        <v>256</v>
      </c>
      <c r="C248" s="8" t="s">
        <v>19</v>
      </c>
      <c r="D248" s="8">
        <v>340</v>
      </c>
      <c r="E248" s="8" t="s">
        <v>20</v>
      </c>
      <c r="F248" s="8">
        <v>841</v>
      </c>
      <c r="G248" s="8" t="s">
        <v>21</v>
      </c>
      <c r="H248" s="8">
        <v>4704</v>
      </c>
      <c r="I248" s="8">
        <v>-4.72265994027204e-7</v>
      </c>
      <c r="J248" s="8">
        <v>-5.78120786183327e-7</v>
      </c>
      <c r="K248" s="8">
        <v>1.38239585019941</v>
      </c>
      <c r="L248" s="26"/>
      <c r="M248" s="10">
        <f t="shared" si="16"/>
        <v>799.875</v>
      </c>
      <c r="N248" s="18">
        <f t="shared" si="17"/>
        <v>543.875</v>
      </c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2"/>
      <c r="AM248" s="2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  <c r="AY248" s="2"/>
      <c r="AZ248" s="2"/>
      <c r="BA248" s="16"/>
      <c r="BB248" s="16"/>
      <c r="BC248" s="16"/>
      <c r="BD248" s="16"/>
      <c r="BE248" s="16"/>
      <c r="BF248" s="16"/>
      <c r="BG248" s="16"/>
      <c r="BH248" s="16"/>
      <c r="BI248" s="16"/>
      <c r="BJ248" s="16"/>
      <c r="BK248" s="16"/>
      <c r="BL248" s="2"/>
      <c r="BM248" s="15"/>
      <c r="BN248" s="21"/>
      <c r="BO248" s="16"/>
      <c r="BP248" s="16"/>
      <c r="BQ248" s="16"/>
      <c r="BR248" s="16"/>
      <c r="BS248" s="16"/>
      <c r="BT248" s="16"/>
      <c r="BU248" s="8"/>
      <c r="BV248" s="8"/>
      <c r="BW248" s="8"/>
      <c r="BX248" s="8"/>
    </row>
    <row r="249" spans="1:76">
      <c r="A249" s="8" t="s">
        <v>19</v>
      </c>
      <c r="B249" s="8">
        <v>256</v>
      </c>
      <c r="C249" s="8" t="s">
        <v>19</v>
      </c>
      <c r="D249" s="8">
        <v>340</v>
      </c>
      <c r="E249" s="8" t="s">
        <v>20</v>
      </c>
      <c r="F249" s="8">
        <v>900</v>
      </c>
      <c r="G249" s="8" t="s">
        <v>21</v>
      </c>
      <c r="H249" s="8">
        <v>5046</v>
      </c>
      <c r="I249" s="8">
        <v>-5.17820115052903e-7</v>
      </c>
      <c r="J249" s="8">
        <v>-5.41808900567859e-7</v>
      </c>
      <c r="K249" s="8">
        <v>1.33490804310362</v>
      </c>
      <c r="L249" s="26"/>
      <c r="M249" s="10">
        <f t="shared" si="16"/>
        <v>856.855</v>
      </c>
      <c r="N249" s="18">
        <f t="shared" si="17"/>
        <v>600.855</v>
      </c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2"/>
      <c r="AM249" s="2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2"/>
      <c r="AZ249" s="2"/>
      <c r="BA249" s="16"/>
      <c r="BB249" s="16"/>
      <c r="BC249" s="16"/>
      <c r="BD249" s="16"/>
      <c r="BE249" s="16"/>
      <c r="BF249" s="16"/>
      <c r="BG249" s="16"/>
      <c r="BH249" s="16"/>
      <c r="BI249" s="16"/>
      <c r="BJ249" s="16"/>
      <c r="BK249" s="16"/>
      <c r="BL249" s="2"/>
      <c r="BM249" s="15"/>
      <c r="BN249" s="21"/>
      <c r="BO249" s="16"/>
      <c r="BP249" s="16"/>
      <c r="BQ249" s="16"/>
      <c r="BR249" s="16"/>
      <c r="BS249" s="16"/>
      <c r="BT249" s="16"/>
      <c r="BU249" s="8"/>
      <c r="BV249" s="8"/>
      <c r="BW249" s="8"/>
      <c r="BX249" s="8"/>
    </row>
    <row r="250" spans="1:76">
      <c r="A250" s="8" t="s">
        <v>19</v>
      </c>
      <c r="B250" s="8">
        <v>256</v>
      </c>
      <c r="C250" s="8" t="s">
        <v>19</v>
      </c>
      <c r="D250" s="8">
        <v>340</v>
      </c>
      <c r="E250" s="8" t="s">
        <v>20</v>
      </c>
      <c r="F250" s="8">
        <v>961</v>
      </c>
      <c r="G250" s="8" t="s">
        <v>21</v>
      </c>
      <c r="H250" s="8">
        <v>5400</v>
      </c>
      <c r="I250" s="8">
        <v>-5.044733471748e-7</v>
      </c>
      <c r="J250" s="8">
        <v>-4.92185735079949e-7</v>
      </c>
      <c r="K250" s="8">
        <v>1.29485560254387</v>
      </c>
      <c r="L250" s="26"/>
      <c r="M250" s="10">
        <f t="shared" si="16"/>
        <v>915.795</v>
      </c>
      <c r="N250" s="18">
        <f t="shared" si="17"/>
        <v>659.795</v>
      </c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2"/>
      <c r="AM250" s="2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  <c r="AY250" s="2"/>
      <c r="AZ250" s="2"/>
      <c r="BA250" s="16"/>
      <c r="BB250" s="16"/>
      <c r="BC250" s="16"/>
      <c r="BD250" s="16"/>
      <c r="BE250" s="16"/>
      <c r="BF250" s="16"/>
      <c r="BG250" s="16"/>
      <c r="BH250" s="16"/>
      <c r="BI250" s="16"/>
      <c r="BJ250" s="16"/>
      <c r="BK250" s="16"/>
      <c r="BL250" s="2"/>
      <c r="BM250" s="15"/>
      <c r="BN250" s="21"/>
      <c r="BO250" s="16"/>
      <c r="BP250" s="16"/>
      <c r="BQ250" s="16"/>
      <c r="BR250" s="16"/>
      <c r="BS250" s="16"/>
      <c r="BT250" s="16"/>
      <c r="BU250" s="8"/>
      <c r="BV250" s="8"/>
      <c r="BW250" s="8"/>
      <c r="BX250" s="8"/>
    </row>
    <row r="251" spans="1:76">
      <c r="A251" s="8" t="s">
        <v>19</v>
      </c>
      <c r="B251" s="8">
        <v>256</v>
      </c>
      <c r="C251" s="8" t="s">
        <v>19</v>
      </c>
      <c r="D251" s="8">
        <v>340</v>
      </c>
      <c r="E251" s="8" t="s">
        <v>20</v>
      </c>
      <c r="F251" s="8">
        <v>1024</v>
      </c>
      <c r="G251" s="8" t="s">
        <v>21</v>
      </c>
      <c r="H251" s="8">
        <v>5766</v>
      </c>
      <c r="I251" s="8">
        <v>-4.81132089696178e-7</v>
      </c>
      <c r="J251" s="8">
        <v>-4.61963201109687e-7</v>
      </c>
      <c r="K251" s="8">
        <v>1.27378649790824</v>
      </c>
      <c r="L251" s="26"/>
      <c r="M251" s="10">
        <f t="shared" si="16"/>
        <v>976.695</v>
      </c>
      <c r="N251" s="18">
        <f t="shared" si="17"/>
        <v>720.695</v>
      </c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2"/>
      <c r="AM251" s="2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  <c r="AY251" s="2"/>
      <c r="AZ251" s="2"/>
      <c r="BA251" s="16"/>
      <c r="BB251" s="16"/>
      <c r="BC251" s="16"/>
      <c r="BD251" s="16"/>
      <c r="BE251" s="16"/>
      <c r="BF251" s="16"/>
      <c r="BG251" s="16"/>
      <c r="BH251" s="16"/>
      <c r="BI251" s="16"/>
      <c r="BJ251" s="16"/>
      <c r="BK251" s="16"/>
      <c r="BL251" s="2"/>
      <c r="BM251" s="15"/>
      <c r="BN251" s="21"/>
      <c r="BO251" s="16"/>
      <c r="BP251" s="16"/>
      <c r="BQ251" s="16"/>
      <c r="BR251" s="16"/>
      <c r="BS251" s="16"/>
      <c r="BT251" s="16"/>
      <c r="BU251" s="8"/>
      <c r="BV251" s="8"/>
      <c r="BW251" s="8"/>
      <c r="BX251" s="8"/>
    </row>
    <row r="252" spans="1:76">
      <c r="A252" s="8" t="s">
        <v>19</v>
      </c>
      <c r="B252" s="8">
        <v>256</v>
      </c>
      <c r="C252" s="8" t="s">
        <v>19</v>
      </c>
      <c r="D252" s="8">
        <v>340</v>
      </c>
      <c r="E252" s="8" t="s">
        <v>20</v>
      </c>
      <c r="F252" s="8">
        <v>1089</v>
      </c>
      <c r="G252" s="8" t="s">
        <v>21</v>
      </c>
      <c r="H252" s="8">
        <v>6144</v>
      </c>
      <c r="I252" s="8">
        <v>-4.43696671421879e-7</v>
      </c>
      <c r="J252" s="8">
        <v>-4.25189382292457e-7</v>
      </c>
      <c r="K252" s="8">
        <v>1.25423526005921</v>
      </c>
      <c r="L252" s="26"/>
      <c r="M252" s="10">
        <f t="shared" si="16"/>
        <v>1039.555</v>
      </c>
      <c r="N252" s="18">
        <f t="shared" si="17"/>
        <v>783.555</v>
      </c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2"/>
      <c r="AM252" s="2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  <c r="AY252" s="2"/>
      <c r="AZ252" s="2"/>
      <c r="BA252" s="16"/>
      <c r="BB252" s="16"/>
      <c r="BC252" s="16"/>
      <c r="BD252" s="16"/>
      <c r="BE252" s="16"/>
      <c r="BF252" s="16"/>
      <c r="BG252" s="16"/>
      <c r="BH252" s="16"/>
      <c r="BI252" s="16"/>
      <c r="BJ252" s="16"/>
      <c r="BK252" s="16"/>
      <c r="BL252" s="2"/>
      <c r="BM252" s="15"/>
      <c r="BN252" s="21"/>
      <c r="BO252" s="16"/>
      <c r="BP252" s="16"/>
      <c r="BQ252" s="16"/>
      <c r="BR252" s="16"/>
      <c r="BS252" s="16"/>
      <c r="BT252" s="16"/>
      <c r="BU252" s="8"/>
      <c r="BV252" s="8"/>
      <c r="BW252" s="8"/>
      <c r="BX252" s="8"/>
    </row>
    <row r="253" ht="23.25" spans="1:76">
      <c r="A253" s="7" t="s">
        <v>30</v>
      </c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26"/>
      <c r="M253" s="10"/>
      <c r="N253" s="18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2"/>
      <c r="AM253" s="2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2"/>
      <c r="AZ253" s="2"/>
      <c r="BA253" s="20"/>
      <c r="BB253" s="20"/>
      <c r="BC253" s="20"/>
      <c r="BD253" s="20"/>
      <c r="BE253" s="20"/>
      <c r="BF253" s="20"/>
      <c r="BG253" s="20"/>
      <c r="BH253" s="20"/>
      <c r="BI253" s="20"/>
      <c r="BJ253" s="20"/>
      <c r="BK253" s="20"/>
      <c r="BL253" s="2"/>
      <c r="BM253" s="15"/>
      <c r="BN253" s="21"/>
      <c r="BO253" s="16"/>
      <c r="BP253" s="16"/>
      <c r="BQ253" s="16"/>
      <c r="BR253" s="16"/>
      <c r="BS253" s="16"/>
      <c r="BT253" s="16"/>
      <c r="BU253" s="8"/>
      <c r="BV253" s="8"/>
      <c r="BW253" s="8"/>
      <c r="BX253" s="8"/>
    </row>
    <row r="254" ht="23.25" spans="1:76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26"/>
      <c r="M254" s="10"/>
      <c r="N254" s="18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2"/>
      <c r="AM254" s="2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2"/>
      <c r="AZ254" s="2"/>
      <c r="BA254" s="20"/>
      <c r="BB254" s="20"/>
      <c r="BC254" s="20"/>
      <c r="BD254" s="20"/>
      <c r="BE254" s="20"/>
      <c r="BF254" s="20"/>
      <c r="BG254" s="20"/>
      <c r="BH254" s="20"/>
      <c r="BI254" s="20"/>
      <c r="BJ254" s="20"/>
      <c r="BK254" s="20"/>
      <c r="BL254" s="2"/>
      <c r="BM254" s="15"/>
      <c r="BN254" s="21"/>
      <c r="BO254" s="14"/>
      <c r="BP254" s="14"/>
      <c r="BQ254" s="14"/>
      <c r="BR254" s="14"/>
      <c r="BS254" s="14"/>
      <c r="BT254" s="14"/>
      <c r="BU254" s="24"/>
      <c r="BV254" s="24"/>
      <c r="BW254" s="24"/>
      <c r="BX254" s="24"/>
    </row>
    <row r="255" ht="23.25" spans="1:76">
      <c r="A255" s="8" t="s">
        <v>7</v>
      </c>
      <c r="B255" s="8" t="s">
        <v>8</v>
      </c>
      <c r="C255" s="8" t="s">
        <v>9</v>
      </c>
      <c r="D255" s="8" t="s">
        <v>10</v>
      </c>
      <c r="E255" s="8" t="s">
        <v>11</v>
      </c>
      <c r="F255" s="8" t="s">
        <v>12</v>
      </c>
      <c r="G255" s="8" t="s">
        <v>13</v>
      </c>
      <c r="H255" s="8" t="s">
        <v>14</v>
      </c>
      <c r="I255" s="8" t="s">
        <v>15</v>
      </c>
      <c r="J255" s="8" t="s">
        <v>16</v>
      </c>
      <c r="K255" s="8" t="s">
        <v>17</v>
      </c>
      <c r="L255" s="26"/>
      <c r="M255" s="10"/>
      <c r="N255" s="18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2"/>
      <c r="AM255" s="2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  <c r="AX255" s="16"/>
      <c r="AY255" s="2"/>
      <c r="AZ255" s="2"/>
      <c r="BA255" s="16"/>
      <c r="BB255" s="16"/>
      <c r="BC255" s="16"/>
      <c r="BD255" s="16"/>
      <c r="BE255" s="16"/>
      <c r="BF255" s="16"/>
      <c r="BG255" s="16"/>
      <c r="BH255" s="16"/>
      <c r="BI255" s="16"/>
      <c r="BJ255" s="16"/>
      <c r="BK255" s="16"/>
      <c r="BL255" s="2"/>
      <c r="BM255" s="15"/>
      <c r="BN255" s="21"/>
      <c r="BO255" s="14"/>
      <c r="BP255" s="14"/>
      <c r="BQ255" s="14"/>
      <c r="BR255" s="14"/>
      <c r="BS255" s="14"/>
      <c r="BT255" s="14"/>
      <c r="BU255" s="24"/>
      <c r="BV255" s="24"/>
      <c r="BW255" s="24"/>
      <c r="BX255" s="24"/>
    </row>
    <row r="256" spans="1:76">
      <c r="A256" s="8" t="s">
        <v>19</v>
      </c>
      <c r="B256" s="8">
        <v>297</v>
      </c>
      <c r="C256" s="8" t="s">
        <v>19</v>
      </c>
      <c r="D256" s="8">
        <v>340</v>
      </c>
      <c r="E256" s="8" t="s">
        <v>20</v>
      </c>
      <c r="F256" s="8">
        <v>256</v>
      </c>
      <c r="G256" s="8" t="s">
        <v>21</v>
      </c>
      <c r="H256" s="8">
        <v>1350</v>
      </c>
      <c r="I256" s="8">
        <v>-1.90427062740533</v>
      </c>
      <c r="J256" s="8">
        <v>-1.74833120509872</v>
      </c>
      <c r="K256" s="8">
        <v>-0.499397346118133</v>
      </c>
      <c r="L256" s="26"/>
      <c r="M256" s="10">
        <f t="shared" ref="M256:M273" si="18">(FLOOR(((SQRT(1+8*F256)-3))/2,0.1)*(FLOOR(((SQRT(1+8*F256)-3))/2,0.1)+1))/2</f>
        <v>233.155</v>
      </c>
      <c r="N256" s="18">
        <f t="shared" ref="N256:N273" si="19">ABS(B256-M256)</f>
        <v>63.845</v>
      </c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2"/>
      <c r="AM256" s="2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  <c r="AY256" s="2"/>
      <c r="AZ256" s="2"/>
      <c r="BA256" s="16"/>
      <c r="BB256" s="16"/>
      <c r="BC256" s="16"/>
      <c r="BD256" s="16"/>
      <c r="BE256" s="16"/>
      <c r="BF256" s="16"/>
      <c r="BG256" s="16"/>
      <c r="BH256" s="16"/>
      <c r="BI256" s="16"/>
      <c r="BJ256" s="16"/>
      <c r="BK256" s="16"/>
      <c r="BL256" s="2"/>
      <c r="BM256" s="15"/>
      <c r="BN256" s="21"/>
      <c r="BO256" s="15"/>
      <c r="BP256" s="15"/>
      <c r="BQ256" s="15"/>
      <c r="BR256" s="15"/>
      <c r="BS256" s="15"/>
      <c r="BT256" s="15"/>
      <c r="BU256" s="10"/>
      <c r="BV256" s="10"/>
      <c r="BW256" s="10"/>
      <c r="BX256" s="10"/>
    </row>
    <row r="257" spans="1:76">
      <c r="A257" s="8" t="s">
        <v>19</v>
      </c>
      <c r="B257" s="8">
        <v>297</v>
      </c>
      <c r="C257" s="8" t="s">
        <v>19</v>
      </c>
      <c r="D257" s="8">
        <v>340</v>
      </c>
      <c r="E257" s="8" t="s">
        <v>20</v>
      </c>
      <c r="F257" s="8">
        <v>289</v>
      </c>
      <c r="G257" s="8" t="s">
        <v>21</v>
      </c>
      <c r="H257" s="8">
        <v>1536</v>
      </c>
      <c r="I257" s="8">
        <v>-2.06017031300008</v>
      </c>
      <c r="J257" s="8">
        <v>-1.67815329212553</v>
      </c>
      <c r="K257" s="8">
        <v>-0.297734221746909</v>
      </c>
      <c r="L257" s="26"/>
      <c r="M257" s="10">
        <f t="shared" si="18"/>
        <v>264.375</v>
      </c>
      <c r="N257" s="18">
        <f t="shared" si="19"/>
        <v>32.625</v>
      </c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2"/>
      <c r="AM257" s="2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  <c r="AX257" s="16"/>
      <c r="AY257" s="2"/>
      <c r="AZ257" s="2"/>
      <c r="BA257" s="16"/>
      <c r="BB257" s="16"/>
      <c r="BC257" s="16"/>
      <c r="BD257" s="16"/>
      <c r="BE257" s="16"/>
      <c r="BF257" s="16"/>
      <c r="BG257" s="16"/>
      <c r="BH257" s="16"/>
      <c r="BI257" s="16"/>
      <c r="BJ257" s="16"/>
      <c r="BK257" s="16"/>
      <c r="BL257" s="2"/>
      <c r="BM257" s="15"/>
      <c r="BN257" s="21"/>
      <c r="BO257" s="16"/>
      <c r="BP257" s="16"/>
      <c r="BQ257" s="16"/>
      <c r="BR257" s="16"/>
      <c r="BS257" s="16"/>
      <c r="BT257" s="16"/>
      <c r="BU257" s="8"/>
      <c r="BV257" s="8"/>
      <c r="BW257" s="8"/>
      <c r="BX257" s="8"/>
    </row>
    <row r="258" ht="23.25" spans="1:76">
      <c r="A258" s="9" t="s">
        <v>19</v>
      </c>
      <c r="B258" s="9">
        <v>297</v>
      </c>
      <c r="C258" s="9" t="s">
        <v>19</v>
      </c>
      <c r="D258" s="9">
        <v>340</v>
      </c>
      <c r="E258" s="9" t="s">
        <v>20</v>
      </c>
      <c r="F258" s="9">
        <v>324</v>
      </c>
      <c r="G258" s="9" t="s">
        <v>21</v>
      </c>
      <c r="H258" s="9">
        <v>1734</v>
      </c>
      <c r="I258" s="9">
        <v>-1.33558340995221</v>
      </c>
      <c r="J258" s="9">
        <v>-1.14395242419742</v>
      </c>
      <c r="K258" s="9">
        <v>0.483043350107485</v>
      </c>
      <c r="L258" s="27"/>
      <c r="M258" s="11">
        <f t="shared" si="18"/>
        <v>297.555</v>
      </c>
      <c r="N258" s="18">
        <f t="shared" si="19"/>
        <v>0.555000000000064</v>
      </c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2"/>
      <c r="AM258" s="2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2"/>
      <c r="AZ258" s="2"/>
      <c r="BA258" s="21"/>
      <c r="BB258" s="21"/>
      <c r="BC258" s="21"/>
      <c r="BD258" s="21"/>
      <c r="BE258" s="21"/>
      <c r="BF258" s="21"/>
      <c r="BG258" s="21"/>
      <c r="BH258" s="21"/>
      <c r="BI258" s="21"/>
      <c r="BJ258" s="21"/>
      <c r="BK258" s="21"/>
      <c r="BL258" s="28"/>
      <c r="BM258" s="22"/>
      <c r="BN258" s="21"/>
      <c r="BO258" s="16"/>
      <c r="BP258" s="16"/>
      <c r="BQ258" s="16"/>
      <c r="BR258" s="16"/>
      <c r="BS258" s="16"/>
      <c r="BT258" s="16"/>
      <c r="BU258" s="8"/>
      <c r="BV258" s="8"/>
      <c r="BW258" s="8"/>
      <c r="BX258" s="8"/>
    </row>
    <row r="259" ht="23.25" spans="1:76">
      <c r="A259" s="8" t="s">
        <v>19</v>
      </c>
      <c r="B259" s="8">
        <v>297</v>
      </c>
      <c r="C259" s="8" t="s">
        <v>19</v>
      </c>
      <c r="D259" s="8">
        <v>340</v>
      </c>
      <c r="E259" s="8" t="s">
        <v>20</v>
      </c>
      <c r="F259" s="8">
        <v>361</v>
      </c>
      <c r="G259" s="8" t="s">
        <v>21</v>
      </c>
      <c r="H259" s="8">
        <v>1944</v>
      </c>
      <c r="I259" s="8">
        <v>-1.17093067495974</v>
      </c>
      <c r="J259" s="8">
        <v>-1.01899364278694</v>
      </c>
      <c r="K259" s="8">
        <v>0.767842442161346</v>
      </c>
      <c r="L259" s="26"/>
      <c r="M259" s="10">
        <f t="shared" si="18"/>
        <v>332.695</v>
      </c>
      <c r="N259" s="18">
        <f t="shared" si="19"/>
        <v>35.695</v>
      </c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2"/>
      <c r="AM259" s="2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2"/>
      <c r="AZ259" s="2"/>
      <c r="BA259" s="16"/>
      <c r="BB259" s="16"/>
      <c r="BC259" s="16"/>
      <c r="BD259" s="16"/>
      <c r="BE259" s="16"/>
      <c r="BF259" s="16"/>
      <c r="BG259" s="16"/>
      <c r="BH259" s="16"/>
      <c r="BI259" s="16"/>
      <c r="BJ259" s="16"/>
      <c r="BK259" s="16"/>
      <c r="BL259" s="2"/>
      <c r="BM259" s="15"/>
      <c r="BN259" s="21"/>
      <c r="BO259" s="16"/>
      <c r="BP259" s="16"/>
      <c r="BQ259" s="16"/>
      <c r="BR259" s="16"/>
      <c r="BS259" s="16"/>
      <c r="BT259" s="16"/>
      <c r="BU259" s="8"/>
      <c r="BV259" s="8"/>
      <c r="BW259" s="8"/>
      <c r="BX259" s="8"/>
    </row>
    <row r="260" spans="1:76">
      <c r="A260" s="8" t="s">
        <v>19</v>
      </c>
      <c r="B260" s="8">
        <v>297</v>
      </c>
      <c r="C260" s="8" t="s">
        <v>19</v>
      </c>
      <c r="D260" s="8">
        <v>340</v>
      </c>
      <c r="E260" s="8" t="s">
        <v>20</v>
      </c>
      <c r="F260" s="8">
        <v>400</v>
      </c>
      <c r="G260" s="8" t="s">
        <v>21</v>
      </c>
      <c r="H260" s="8">
        <v>2166</v>
      </c>
      <c r="I260" s="8">
        <v>-0.521075794753358</v>
      </c>
      <c r="J260" s="8">
        <v>-0.436746352721233</v>
      </c>
      <c r="K260" s="8">
        <v>1.37349822254047</v>
      </c>
      <c r="L260" s="26"/>
      <c r="M260" s="10">
        <f t="shared" si="18"/>
        <v>369.795</v>
      </c>
      <c r="N260" s="18">
        <f t="shared" si="19"/>
        <v>72.7950000000001</v>
      </c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16"/>
      <c r="BB260" s="16"/>
      <c r="BC260" s="16"/>
      <c r="BD260" s="16"/>
      <c r="BE260" s="16"/>
      <c r="BF260" s="16"/>
      <c r="BG260" s="16"/>
      <c r="BH260" s="16"/>
      <c r="BI260" s="16"/>
      <c r="BJ260" s="16"/>
      <c r="BK260" s="16"/>
      <c r="BL260" s="2"/>
      <c r="BM260" s="15"/>
      <c r="BN260" s="21"/>
      <c r="BO260" s="16"/>
      <c r="BP260" s="16"/>
      <c r="BQ260" s="16"/>
      <c r="BR260" s="16"/>
      <c r="BS260" s="16"/>
      <c r="BT260" s="16"/>
      <c r="BU260" s="8"/>
      <c r="BV260" s="8"/>
      <c r="BW260" s="8"/>
      <c r="BX260" s="8"/>
    </row>
    <row r="261" spans="1:76">
      <c r="A261" s="8" t="s">
        <v>19</v>
      </c>
      <c r="B261" s="8">
        <v>297</v>
      </c>
      <c r="C261" s="8" t="s">
        <v>19</v>
      </c>
      <c r="D261" s="8">
        <v>340</v>
      </c>
      <c r="E261" s="8" t="s">
        <v>20</v>
      </c>
      <c r="F261" s="8">
        <v>441</v>
      </c>
      <c r="G261" s="8" t="s">
        <v>21</v>
      </c>
      <c r="H261" s="8">
        <v>2400</v>
      </c>
      <c r="I261" s="8">
        <v>-0.226311408064521</v>
      </c>
      <c r="J261" s="8">
        <v>-0.196222707502092</v>
      </c>
      <c r="K261" s="8">
        <v>1.90728094240197</v>
      </c>
      <c r="L261" s="26"/>
      <c r="M261" s="10">
        <f t="shared" si="18"/>
        <v>411.72</v>
      </c>
      <c r="N261" s="18">
        <f t="shared" si="19"/>
        <v>114.72</v>
      </c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2"/>
      <c r="AM261" s="2"/>
      <c r="AN261" s="16"/>
      <c r="AO261" s="16"/>
      <c r="AP261" s="16"/>
      <c r="AQ261" s="16"/>
      <c r="AR261" s="16"/>
      <c r="AS261" s="16"/>
      <c r="AT261" s="16"/>
      <c r="AU261" s="16"/>
      <c r="AV261" s="16"/>
      <c r="AW261" s="16"/>
      <c r="AX261" s="16"/>
      <c r="AY261" s="2"/>
      <c r="AZ261" s="2"/>
      <c r="BA261" s="16"/>
      <c r="BB261" s="16"/>
      <c r="BC261" s="16"/>
      <c r="BD261" s="16"/>
      <c r="BE261" s="16"/>
      <c r="BF261" s="16"/>
      <c r="BG261" s="16"/>
      <c r="BH261" s="16"/>
      <c r="BI261" s="16"/>
      <c r="BJ261" s="16"/>
      <c r="BK261" s="16"/>
      <c r="BL261" s="2"/>
      <c r="BM261" s="15"/>
      <c r="BN261" s="21"/>
      <c r="BO261" s="16"/>
      <c r="BP261" s="16"/>
      <c r="BQ261" s="16"/>
      <c r="BR261" s="16"/>
      <c r="BS261" s="16"/>
      <c r="BT261" s="16"/>
      <c r="BU261" s="8"/>
      <c r="BV261" s="8"/>
      <c r="BW261" s="8"/>
      <c r="BX261" s="8"/>
    </row>
    <row r="262" spans="1:76">
      <c r="A262" s="8" t="s">
        <v>19</v>
      </c>
      <c r="B262" s="8">
        <v>297</v>
      </c>
      <c r="C262" s="8" t="s">
        <v>19</v>
      </c>
      <c r="D262" s="8">
        <v>340</v>
      </c>
      <c r="E262" s="8" t="s">
        <v>20</v>
      </c>
      <c r="F262" s="8">
        <v>484</v>
      </c>
      <c r="G262" s="8" t="s">
        <v>21</v>
      </c>
      <c r="H262" s="8">
        <v>2646</v>
      </c>
      <c r="I262" s="8">
        <v>0.000633206695333423</v>
      </c>
      <c r="J262" s="8">
        <v>-0.00167508452159196</v>
      </c>
      <c r="K262" s="8">
        <v>2.77990040223151</v>
      </c>
      <c r="L262" s="26"/>
      <c r="M262" s="10">
        <f t="shared" si="18"/>
        <v>452.88</v>
      </c>
      <c r="N262" s="18">
        <f t="shared" si="19"/>
        <v>155.88</v>
      </c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2"/>
      <c r="AM262" s="2"/>
      <c r="AN262" s="16"/>
      <c r="AO262" s="16"/>
      <c r="AP262" s="16"/>
      <c r="AQ262" s="16"/>
      <c r="AR262" s="16"/>
      <c r="AS262" s="16"/>
      <c r="AT262" s="16"/>
      <c r="AU262" s="16"/>
      <c r="AV262" s="16"/>
      <c r="AW262" s="16"/>
      <c r="AX262" s="16"/>
      <c r="AY262" s="2"/>
      <c r="AZ262" s="2"/>
      <c r="BA262" s="16"/>
      <c r="BB262" s="16"/>
      <c r="BC262" s="16"/>
      <c r="BD262" s="16"/>
      <c r="BE262" s="16"/>
      <c r="BF262" s="16"/>
      <c r="BG262" s="16"/>
      <c r="BH262" s="16"/>
      <c r="BI262" s="16"/>
      <c r="BJ262" s="16"/>
      <c r="BK262" s="16"/>
      <c r="BL262" s="2"/>
      <c r="BM262" s="15"/>
      <c r="BN262" s="21"/>
      <c r="BO262" s="16"/>
      <c r="BP262" s="16"/>
      <c r="BQ262" s="16"/>
      <c r="BR262" s="16"/>
      <c r="BS262" s="16"/>
      <c r="BT262" s="16"/>
      <c r="BU262" s="8"/>
      <c r="BV262" s="8"/>
      <c r="BW262" s="8"/>
      <c r="BX262" s="8"/>
    </row>
    <row r="263" spans="1:76">
      <c r="A263" s="8" t="s">
        <v>19</v>
      </c>
      <c r="B263" s="8">
        <v>297</v>
      </c>
      <c r="C263" s="8" t="s">
        <v>19</v>
      </c>
      <c r="D263" s="8">
        <v>340</v>
      </c>
      <c r="E263" s="8" t="s">
        <v>20</v>
      </c>
      <c r="F263" s="8">
        <v>529</v>
      </c>
      <c r="G263" s="8" t="s">
        <v>21</v>
      </c>
      <c r="H263" s="8">
        <v>2904</v>
      </c>
      <c r="I263" s="8">
        <v>8.84630644297142e-7</v>
      </c>
      <c r="J263" s="8">
        <v>-5.12109966022325e-6</v>
      </c>
      <c r="K263" s="8">
        <v>2.01212592718478</v>
      </c>
      <c r="L263" s="26"/>
      <c r="M263" s="10">
        <f t="shared" si="18"/>
        <v>496</v>
      </c>
      <c r="N263" s="18">
        <f t="shared" si="19"/>
        <v>199</v>
      </c>
      <c r="AN263" s="16"/>
      <c r="AO263" s="16"/>
      <c r="AP263" s="16"/>
      <c r="AQ263" s="16"/>
      <c r="AR263" s="16"/>
      <c r="AS263" s="16"/>
      <c r="AT263" s="16"/>
      <c r="AU263" s="16"/>
      <c r="AV263" s="16"/>
      <c r="AW263" s="16"/>
      <c r="AX263" s="16"/>
      <c r="AY263" s="2"/>
      <c r="AZ263" s="2"/>
      <c r="BA263" s="16"/>
      <c r="BB263" s="16"/>
      <c r="BC263" s="16"/>
      <c r="BD263" s="16"/>
      <c r="BE263" s="16"/>
      <c r="BF263" s="16"/>
      <c r="BG263" s="16"/>
      <c r="BH263" s="16"/>
      <c r="BI263" s="16"/>
      <c r="BJ263" s="16"/>
      <c r="BK263" s="16"/>
      <c r="BL263" s="2"/>
      <c r="BM263" s="15"/>
      <c r="BN263" s="21"/>
      <c r="BO263" s="16"/>
      <c r="BP263" s="16"/>
      <c r="BQ263" s="16"/>
      <c r="BR263" s="16"/>
      <c r="BS263" s="16"/>
      <c r="BT263" s="16"/>
      <c r="BU263" s="8"/>
      <c r="BV263" s="8"/>
      <c r="BW263" s="8"/>
      <c r="BX263" s="8"/>
    </row>
    <row r="264" spans="1:76">
      <c r="A264" s="8" t="s">
        <v>19</v>
      </c>
      <c r="B264" s="8">
        <v>297</v>
      </c>
      <c r="C264" s="8" t="s">
        <v>19</v>
      </c>
      <c r="D264" s="8">
        <v>340</v>
      </c>
      <c r="E264" s="8" t="s">
        <v>20</v>
      </c>
      <c r="F264" s="8">
        <v>576</v>
      </c>
      <c r="G264" s="8" t="s">
        <v>21</v>
      </c>
      <c r="H264" s="8">
        <v>3174</v>
      </c>
      <c r="I264" s="8">
        <v>-1.42182672759535e-6</v>
      </c>
      <c r="J264" s="8">
        <v>-3.57059609621876e-6</v>
      </c>
      <c r="K264" s="8">
        <v>1.85667023697652</v>
      </c>
      <c r="L264" s="26"/>
      <c r="M264" s="10">
        <f t="shared" si="18"/>
        <v>541.08</v>
      </c>
      <c r="N264" s="18">
        <f t="shared" si="19"/>
        <v>244.08</v>
      </c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  <c r="AY264" s="2"/>
      <c r="AZ264" s="2"/>
      <c r="BA264" s="16"/>
      <c r="BB264" s="16"/>
      <c r="BC264" s="16"/>
      <c r="BD264" s="16"/>
      <c r="BE264" s="16"/>
      <c r="BF264" s="16"/>
      <c r="BG264" s="16"/>
      <c r="BH264" s="16"/>
      <c r="BI264" s="16"/>
      <c r="BJ264" s="16"/>
      <c r="BK264" s="16"/>
      <c r="BL264" s="2"/>
      <c r="BM264" s="15"/>
      <c r="BN264" s="21"/>
      <c r="BO264" s="16"/>
      <c r="BP264" s="16"/>
      <c r="BQ264" s="16"/>
      <c r="BR264" s="16"/>
      <c r="BS264" s="16"/>
      <c r="BT264" s="16"/>
      <c r="BU264" s="8"/>
      <c r="BV264" s="8"/>
      <c r="BW264" s="8"/>
      <c r="BX264" s="8"/>
    </row>
    <row r="265" spans="1:76">
      <c r="A265" s="8" t="s">
        <v>19</v>
      </c>
      <c r="B265" s="8">
        <v>297</v>
      </c>
      <c r="C265" s="8" t="s">
        <v>19</v>
      </c>
      <c r="D265" s="8">
        <v>340</v>
      </c>
      <c r="E265" s="8" t="s">
        <v>20</v>
      </c>
      <c r="F265" s="8">
        <v>625</v>
      </c>
      <c r="G265" s="8" t="s">
        <v>21</v>
      </c>
      <c r="H265" s="8">
        <v>3456</v>
      </c>
      <c r="I265" s="8">
        <v>3.55178126150803e-8</v>
      </c>
      <c r="J265" s="8">
        <v>-1.30428289461714e-6</v>
      </c>
      <c r="K265" s="8">
        <v>1.69535359849987</v>
      </c>
      <c r="L265" s="26"/>
      <c r="M265" s="10">
        <f t="shared" si="18"/>
        <v>588.12</v>
      </c>
      <c r="N265" s="18">
        <f t="shared" si="19"/>
        <v>291.12</v>
      </c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2"/>
      <c r="AZ265" s="2"/>
      <c r="BA265" s="16"/>
      <c r="BB265" s="16"/>
      <c r="BC265" s="16"/>
      <c r="BD265" s="16"/>
      <c r="BE265" s="16"/>
      <c r="BF265" s="16"/>
      <c r="BG265" s="16"/>
      <c r="BH265" s="16"/>
      <c r="BI265" s="16"/>
      <c r="BJ265" s="16"/>
      <c r="BK265" s="16"/>
      <c r="BL265" s="2"/>
      <c r="BM265" s="15"/>
      <c r="BN265" s="21"/>
      <c r="BO265" s="16"/>
      <c r="BP265" s="16"/>
      <c r="BQ265" s="16"/>
      <c r="BR265" s="16"/>
      <c r="BS265" s="16"/>
      <c r="BT265" s="16"/>
      <c r="BU265" s="8"/>
      <c r="BV265" s="8"/>
      <c r="BW265" s="8"/>
      <c r="BX265" s="8"/>
    </row>
    <row r="266" spans="1:76">
      <c r="A266" s="8" t="s">
        <v>19</v>
      </c>
      <c r="B266" s="8">
        <v>297</v>
      </c>
      <c r="C266" s="8" t="s">
        <v>19</v>
      </c>
      <c r="D266" s="8">
        <v>340</v>
      </c>
      <c r="E266" s="8" t="s">
        <v>20</v>
      </c>
      <c r="F266" s="8">
        <v>676</v>
      </c>
      <c r="G266" s="8" t="s">
        <v>21</v>
      </c>
      <c r="H266" s="8">
        <v>3750</v>
      </c>
      <c r="I266" s="8">
        <v>-9.20851342642765e-7</v>
      </c>
      <c r="J266" s="8">
        <v>-1.60392312193829e-6</v>
      </c>
      <c r="K266" s="8">
        <v>1.65659082921852</v>
      </c>
      <c r="L266" s="26"/>
      <c r="M266" s="10">
        <f t="shared" si="18"/>
        <v>637.12</v>
      </c>
      <c r="N266" s="18">
        <f t="shared" si="19"/>
        <v>340.12</v>
      </c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  <c r="AX266" s="16"/>
      <c r="AY266" s="2"/>
      <c r="AZ266" s="2"/>
      <c r="BA266" s="16"/>
      <c r="BB266" s="16"/>
      <c r="BC266" s="16"/>
      <c r="BD266" s="16"/>
      <c r="BE266" s="16"/>
      <c r="BF266" s="16"/>
      <c r="BG266" s="16"/>
      <c r="BH266" s="16"/>
      <c r="BI266" s="16"/>
      <c r="BJ266" s="16"/>
      <c r="BK266" s="16"/>
      <c r="BL266" s="2"/>
      <c r="BM266" s="15"/>
      <c r="BN266" s="21"/>
      <c r="BO266" s="16"/>
      <c r="BP266" s="16"/>
      <c r="BQ266" s="16"/>
      <c r="BR266" s="16"/>
      <c r="BS266" s="16"/>
      <c r="BT266" s="16"/>
      <c r="BU266" s="8"/>
      <c r="BV266" s="8"/>
      <c r="BW266" s="8"/>
      <c r="BX266" s="8"/>
    </row>
    <row r="267" spans="1:76">
      <c r="A267" s="8" t="s">
        <v>19</v>
      </c>
      <c r="B267" s="8">
        <v>297</v>
      </c>
      <c r="C267" s="8" t="s">
        <v>19</v>
      </c>
      <c r="D267" s="8">
        <v>340</v>
      </c>
      <c r="E267" s="8" t="s">
        <v>20</v>
      </c>
      <c r="F267" s="8">
        <v>729</v>
      </c>
      <c r="G267" s="8" t="s">
        <v>21</v>
      </c>
      <c r="H267" s="8">
        <v>4056</v>
      </c>
      <c r="I267" s="8">
        <v>1.38579335840048e-7</v>
      </c>
      <c r="J267" s="8">
        <v>-5.87275223040835e-7</v>
      </c>
      <c r="K267" s="8">
        <v>1.54543975416873</v>
      </c>
      <c r="L267" s="26"/>
      <c r="M267" s="10">
        <f t="shared" si="18"/>
        <v>688.08</v>
      </c>
      <c r="N267" s="18">
        <f t="shared" si="19"/>
        <v>391.08</v>
      </c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  <c r="AY267" s="2"/>
      <c r="AZ267" s="2"/>
      <c r="BA267" s="16"/>
      <c r="BB267" s="16"/>
      <c r="BC267" s="16"/>
      <c r="BD267" s="16"/>
      <c r="BE267" s="16"/>
      <c r="BF267" s="16"/>
      <c r="BG267" s="16"/>
      <c r="BH267" s="16"/>
      <c r="BI267" s="16"/>
      <c r="BJ267" s="16"/>
      <c r="BK267" s="16"/>
      <c r="BL267" s="2"/>
      <c r="BM267" s="15"/>
      <c r="BN267" s="21"/>
      <c r="BO267" s="16"/>
      <c r="BP267" s="16"/>
      <c r="BQ267" s="16"/>
      <c r="BR267" s="16"/>
      <c r="BS267" s="16"/>
      <c r="BT267" s="16"/>
      <c r="BU267" s="8"/>
      <c r="BV267" s="8"/>
      <c r="BW267" s="8"/>
      <c r="BX267" s="8"/>
    </row>
    <row r="268" spans="1:76">
      <c r="A268" s="8" t="s">
        <v>19</v>
      </c>
      <c r="B268" s="8">
        <v>297</v>
      </c>
      <c r="C268" s="8" t="s">
        <v>19</v>
      </c>
      <c r="D268" s="8">
        <v>340</v>
      </c>
      <c r="E268" s="8" t="s">
        <v>20</v>
      </c>
      <c r="F268" s="8">
        <v>784</v>
      </c>
      <c r="G268" s="8" t="s">
        <v>21</v>
      </c>
      <c r="H268" s="8">
        <v>4374</v>
      </c>
      <c r="I268" s="8">
        <v>-4.21232446932982e-8</v>
      </c>
      <c r="J268" s="8">
        <v>-5.84194774505778e-7</v>
      </c>
      <c r="K268" s="8">
        <v>1.50504667090726</v>
      </c>
      <c r="L268" s="26"/>
      <c r="M268" s="10">
        <f t="shared" si="18"/>
        <v>744.855</v>
      </c>
      <c r="N268" s="18">
        <f t="shared" si="19"/>
        <v>447.855</v>
      </c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2"/>
      <c r="AZ268" s="2"/>
      <c r="BA268" s="16"/>
      <c r="BB268" s="16"/>
      <c r="BC268" s="16"/>
      <c r="BD268" s="16"/>
      <c r="BE268" s="16"/>
      <c r="BF268" s="16"/>
      <c r="BG268" s="16"/>
      <c r="BH268" s="16"/>
      <c r="BI268" s="16"/>
      <c r="BJ268" s="16"/>
      <c r="BK268" s="16"/>
      <c r="BL268" s="2"/>
      <c r="BM268" s="15"/>
      <c r="BN268" s="21"/>
      <c r="BO268" s="16"/>
      <c r="BP268" s="16"/>
      <c r="BQ268" s="16"/>
      <c r="BR268" s="16"/>
      <c r="BS268" s="16"/>
      <c r="BT268" s="16"/>
      <c r="BU268" s="8"/>
      <c r="BV268" s="8"/>
      <c r="BW268" s="8"/>
      <c r="BX268" s="8"/>
    </row>
    <row r="269" spans="1:76">
      <c r="A269" s="8" t="s">
        <v>19</v>
      </c>
      <c r="B269" s="8">
        <v>297</v>
      </c>
      <c r="C269" s="8" t="s">
        <v>19</v>
      </c>
      <c r="D269" s="8">
        <v>340</v>
      </c>
      <c r="E269" s="8" t="s">
        <v>20</v>
      </c>
      <c r="F269" s="8">
        <v>841</v>
      </c>
      <c r="G269" s="8" t="s">
        <v>21</v>
      </c>
      <c r="H269" s="8">
        <v>4704</v>
      </c>
      <c r="I269" s="8">
        <v>-5.30170381347368e-8</v>
      </c>
      <c r="J269" s="8">
        <v>-4.28753144400729e-7</v>
      </c>
      <c r="K269" s="8">
        <v>1.43230717346103</v>
      </c>
      <c r="L269" s="26"/>
      <c r="M269" s="10">
        <f t="shared" si="18"/>
        <v>799.875</v>
      </c>
      <c r="N269" s="18">
        <f t="shared" si="19"/>
        <v>502.875</v>
      </c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  <c r="AX269" s="16"/>
      <c r="AY269" s="2"/>
      <c r="AZ269" s="2"/>
      <c r="BA269" s="16"/>
      <c r="BB269" s="16"/>
      <c r="BC269" s="16"/>
      <c r="BD269" s="16"/>
      <c r="BE269" s="16"/>
      <c r="BF269" s="16"/>
      <c r="BG269" s="16"/>
      <c r="BH269" s="16"/>
      <c r="BI269" s="16"/>
      <c r="BJ269" s="16"/>
      <c r="BK269" s="16"/>
      <c r="BL269" s="2"/>
      <c r="BM269" s="15"/>
      <c r="BN269" s="21"/>
      <c r="BO269" s="16"/>
      <c r="BP269" s="16"/>
      <c r="BQ269" s="16"/>
      <c r="BR269" s="16"/>
      <c r="BS269" s="16"/>
      <c r="BT269" s="16"/>
      <c r="BU269" s="8"/>
      <c r="BV269" s="8"/>
      <c r="BW269" s="8"/>
      <c r="BX269" s="8"/>
    </row>
    <row r="270" spans="1:76">
      <c r="A270" s="8" t="s">
        <v>19</v>
      </c>
      <c r="B270" s="8">
        <v>297</v>
      </c>
      <c r="C270" s="8" t="s">
        <v>19</v>
      </c>
      <c r="D270" s="8">
        <v>340</v>
      </c>
      <c r="E270" s="8" t="s">
        <v>20</v>
      </c>
      <c r="F270" s="8">
        <v>900</v>
      </c>
      <c r="G270" s="8" t="s">
        <v>21</v>
      </c>
      <c r="H270" s="8">
        <v>5046</v>
      </c>
      <c r="I270" s="8">
        <v>-2.43528935873433e-7</v>
      </c>
      <c r="J270" s="8">
        <v>-5.01648839553992e-7</v>
      </c>
      <c r="K270" s="8">
        <v>1.41114517267365</v>
      </c>
      <c r="L270" s="26"/>
      <c r="M270" s="10">
        <f t="shared" si="18"/>
        <v>856.855</v>
      </c>
      <c r="N270" s="18">
        <f t="shared" si="19"/>
        <v>559.855</v>
      </c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  <c r="AY270" s="2"/>
      <c r="AZ270" s="2"/>
      <c r="BA270" s="16"/>
      <c r="BB270" s="16"/>
      <c r="BC270" s="16"/>
      <c r="BD270" s="16"/>
      <c r="BE270" s="16"/>
      <c r="BF270" s="16"/>
      <c r="BG270" s="16"/>
      <c r="BH270" s="16"/>
      <c r="BI270" s="16"/>
      <c r="BJ270" s="16"/>
      <c r="BK270" s="16"/>
      <c r="BL270" s="2"/>
      <c r="BM270" s="15"/>
      <c r="BN270" s="21"/>
      <c r="BO270" s="16"/>
      <c r="BP270" s="16"/>
      <c r="BQ270" s="16"/>
      <c r="BR270" s="16"/>
      <c r="BS270" s="16"/>
      <c r="BT270" s="16"/>
      <c r="BU270" s="8"/>
      <c r="BV270" s="8"/>
      <c r="BW270" s="8"/>
      <c r="BX270" s="8"/>
    </row>
    <row r="271" spans="1:76">
      <c r="A271" s="8" t="s">
        <v>19</v>
      </c>
      <c r="B271" s="8">
        <v>297</v>
      </c>
      <c r="C271" s="8" t="s">
        <v>19</v>
      </c>
      <c r="D271" s="8">
        <v>340</v>
      </c>
      <c r="E271" s="8" t="s">
        <v>20</v>
      </c>
      <c r="F271" s="8">
        <v>961</v>
      </c>
      <c r="G271" s="8" t="s">
        <v>21</v>
      </c>
      <c r="H271" s="8">
        <v>5400</v>
      </c>
      <c r="I271" s="8">
        <v>-1.61023641211333e-7</v>
      </c>
      <c r="J271" s="8">
        <v>-3.52638158071626e-7</v>
      </c>
      <c r="K271" s="8">
        <v>1.34126522779887</v>
      </c>
      <c r="L271" s="26"/>
      <c r="M271" s="10">
        <f t="shared" si="18"/>
        <v>915.795</v>
      </c>
      <c r="N271" s="18">
        <f t="shared" si="19"/>
        <v>618.795</v>
      </c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  <c r="AX271" s="16"/>
      <c r="AY271" s="2"/>
      <c r="AZ271" s="2"/>
      <c r="BA271" s="16"/>
      <c r="BB271" s="16"/>
      <c r="BC271" s="16"/>
      <c r="BD271" s="16"/>
      <c r="BE271" s="16"/>
      <c r="BF271" s="16"/>
      <c r="BG271" s="16"/>
      <c r="BH271" s="16"/>
      <c r="BI271" s="16"/>
      <c r="BJ271" s="16"/>
      <c r="BK271" s="16"/>
      <c r="BL271" s="2"/>
      <c r="BM271" s="15"/>
      <c r="BN271" s="21"/>
      <c r="BO271" s="16"/>
      <c r="BP271" s="16"/>
      <c r="BQ271" s="16"/>
      <c r="BR271" s="16"/>
      <c r="BS271" s="16"/>
      <c r="BT271" s="16"/>
      <c r="BU271" s="8"/>
      <c r="BV271" s="8"/>
      <c r="BW271" s="8"/>
      <c r="BX271" s="8"/>
    </row>
    <row r="272" spans="1:76">
      <c r="A272" s="8" t="s">
        <v>19</v>
      </c>
      <c r="B272" s="8">
        <v>297</v>
      </c>
      <c r="C272" s="8" t="s">
        <v>19</v>
      </c>
      <c r="D272" s="8">
        <v>340</v>
      </c>
      <c r="E272" s="8" t="s">
        <v>20</v>
      </c>
      <c r="F272" s="8">
        <v>1024</v>
      </c>
      <c r="G272" s="8" t="s">
        <v>21</v>
      </c>
      <c r="H272" s="8">
        <v>5766</v>
      </c>
      <c r="I272" s="8">
        <v>-2.66481198078278e-7</v>
      </c>
      <c r="J272" s="8">
        <v>-3.93691369493162e-7</v>
      </c>
      <c r="K272" s="8">
        <v>1.32513919933928</v>
      </c>
      <c r="L272" s="26"/>
      <c r="M272" s="10">
        <f t="shared" si="18"/>
        <v>976.695</v>
      </c>
      <c r="N272" s="18">
        <f t="shared" si="19"/>
        <v>679.695</v>
      </c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  <c r="AX272" s="16"/>
      <c r="AY272" s="2"/>
      <c r="AZ272" s="2"/>
      <c r="BA272" s="16"/>
      <c r="BB272" s="16"/>
      <c r="BC272" s="16"/>
      <c r="BD272" s="16"/>
      <c r="BE272" s="16"/>
      <c r="BF272" s="16"/>
      <c r="BG272" s="16"/>
      <c r="BH272" s="16"/>
      <c r="BI272" s="16"/>
      <c r="BJ272" s="16"/>
      <c r="BK272" s="16"/>
      <c r="BL272" s="2"/>
      <c r="BM272" s="15"/>
      <c r="BN272" s="21"/>
      <c r="BO272" s="16"/>
      <c r="BP272" s="16"/>
      <c r="BQ272" s="16"/>
      <c r="BR272" s="16"/>
      <c r="BS272" s="16"/>
      <c r="BT272" s="16"/>
      <c r="BU272" s="8"/>
      <c r="BV272" s="8"/>
      <c r="BW272" s="8"/>
      <c r="BX272" s="8"/>
    </row>
    <row r="273" spans="1:76">
      <c r="A273" s="8" t="s">
        <v>19</v>
      </c>
      <c r="B273" s="8">
        <v>297</v>
      </c>
      <c r="C273" s="8" t="s">
        <v>19</v>
      </c>
      <c r="D273" s="8">
        <v>340</v>
      </c>
      <c r="E273" s="8" t="s">
        <v>20</v>
      </c>
      <c r="F273" s="8">
        <v>1089</v>
      </c>
      <c r="G273" s="8" t="s">
        <v>21</v>
      </c>
      <c r="H273" s="8">
        <v>6144</v>
      </c>
      <c r="I273" s="8">
        <v>-2.31205425662843e-7</v>
      </c>
      <c r="J273" s="8">
        <v>-3.21825291964732e-7</v>
      </c>
      <c r="K273" s="8">
        <v>1.27420010655301</v>
      </c>
      <c r="L273" s="26"/>
      <c r="M273" s="10">
        <f t="shared" si="18"/>
        <v>1039.555</v>
      </c>
      <c r="N273" s="18">
        <f t="shared" si="19"/>
        <v>742.555</v>
      </c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  <c r="AY273" s="2"/>
      <c r="AZ273" s="2"/>
      <c r="BA273" s="16"/>
      <c r="BB273" s="16"/>
      <c r="BC273" s="16"/>
      <c r="BD273" s="16"/>
      <c r="BE273" s="16"/>
      <c r="BF273" s="16"/>
      <c r="BG273" s="16"/>
      <c r="BH273" s="16"/>
      <c r="BI273" s="16"/>
      <c r="BJ273" s="16"/>
      <c r="BK273" s="16"/>
      <c r="BL273" s="2"/>
      <c r="BM273" s="15"/>
      <c r="BN273" s="21"/>
      <c r="BO273" s="16"/>
      <c r="BP273" s="16"/>
      <c r="BQ273" s="16"/>
      <c r="BR273" s="16"/>
      <c r="BS273" s="16"/>
      <c r="BT273" s="16"/>
      <c r="BU273" s="8"/>
      <c r="BV273" s="8"/>
      <c r="BW273" s="8"/>
      <c r="BX273" s="8"/>
    </row>
    <row r="274" ht="23.25" spans="1:76">
      <c r="A274" s="7" t="s">
        <v>31</v>
      </c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26"/>
      <c r="M274" s="10"/>
      <c r="N274" s="18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  <c r="AY274" s="2"/>
      <c r="AZ274" s="2"/>
      <c r="BA274" s="20"/>
      <c r="BB274" s="20"/>
      <c r="BC274" s="20"/>
      <c r="BD274" s="20"/>
      <c r="BE274" s="20"/>
      <c r="BF274" s="20"/>
      <c r="BG274" s="20"/>
      <c r="BH274" s="20"/>
      <c r="BI274" s="20"/>
      <c r="BJ274" s="20"/>
      <c r="BK274" s="20"/>
      <c r="BL274" s="2"/>
      <c r="BM274" s="15"/>
      <c r="BN274" s="21"/>
      <c r="BO274" s="16"/>
      <c r="BP274" s="16"/>
      <c r="BQ274" s="16"/>
      <c r="BR274" s="16"/>
      <c r="BS274" s="16"/>
      <c r="BT274" s="16"/>
      <c r="BU274" s="8"/>
      <c r="BV274" s="8"/>
      <c r="BW274" s="8"/>
      <c r="BX274" s="8"/>
    </row>
    <row r="275" ht="23.25" spans="1:76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26"/>
      <c r="M275" s="10"/>
      <c r="N275" s="18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  <c r="AX275" s="16"/>
      <c r="AY275" s="2"/>
      <c r="AZ275" s="2"/>
      <c r="BA275" s="20"/>
      <c r="BB275" s="20"/>
      <c r="BC275" s="20"/>
      <c r="BD275" s="20"/>
      <c r="BE275" s="20"/>
      <c r="BF275" s="20"/>
      <c r="BG275" s="20"/>
      <c r="BH275" s="20"/>
      <c r="BI275" s="20"/>
      <c r="BJ275" s="20"/>
      <c r="BK275" s="20"/>
      <c r="BL275" s="2"/>
      <c r="BM275" s="15"/>
      <c r="BN275" s="21"/>
      <c r="BO275" s="14"/>
      <c r="BP275" s="14"/>
      <c r="BQ275" s="14"/>
      <c r="BR275" s="14"/>
      <c r="BS275" s="14"/>
      <c r="BT275" s="14"/>
      <c r="BU275" s="24"/>
      <c r="BV275" s="24"/>
      <c r="BW275" s="24"/>
      <c r="BX275" s="24"/>
    </row>
    <row r="276" ht="23.25" spans="1:76">
      <c r="A276" s="8" t="s">
        <v>7</v>
      </c>
      <c r="B276" s="8" t="s">
        <v>8</v>
      </c>
      <c r="C276" s="8" t="s">
        <v>9</v>
      </c>
      <c r="D276" s="8" t="s">
        <v>10</v>
      </c>
      <c r="E276" s="8" t="s">
        <v>11</v>
      </c>
      <c r="F276" s="8" t="s">
        <v>12</v>
      </c>
      <c r="G276" s="8" t="s">
        <v>13</v>
      </c>
      <c r="H276" s="8" t="s">
        <v>14</v>
      </c>
      <c r="I276" s="8" t="s">
        <v>15</v>
      </c>
      <c r="J276" s="8" t="s">
        <v>16</v>
      </c>
      <c r="K276" s="8" t="s">
        <v>17</v>
      </c>
      <c r="L276" s="26"/>
      <c r="M276" s="10"/>
      <c r="N276" s="18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  <c r="AY276" s="2"/>
      <c r="AZ276" s="2"/>
      <c r="BA276" s="16"/>
      <c r="BB276" s="16"/>
      <c r="BC276" s="16"/>
      <c r="BD276" s="16"/>
      <c r="BE276" s="16"/>
      <c r="BF276" s="16"/>
      <c r="BG276" s="16"/>
      <c r="BH276" s="16"/>
      <c r="BI276" s="16"/>
      <c r="BJ276" s="16"/>
      <c r="BK276" s="16"/>
      <c r="BL276" s="2"/>
      <c r="BM276" s="15"/>
      <c r="BN276" s="21"/>
      <c r="BO276" s="14"/>
      <c r="BP276" s="14"/>
      <c r="BQ276" s="14"/>
      <c r="BR276" s="14"/>
      <c r="BS276" s="14"/>
      <c r="BT276" s="14"/>
      <c r="BU276" s="24"/>
      <c r="BV276" s="24"/>
      <c r="BW276" s="24"/>
      <c r="BX276" s="24"/>
    </row>
    <row r="277" spans="1:76">
      <c r="A277" s="8" t="s">
        <v>19</v>
      </c>
      <c r="B277" s="8">
        <v>340</v>
      </c>
      <c r="C277" s="8" t="s">
        <v>19</v>
      </c>
      <c r="D277" s="8">
        <v>340</v>
      </c>
      <c r="E277" s="8" t="s">
        <v>20</v>
      </c>
      <c r="F277" s="8">
        <v>289</v>
      </c>
      <c r="G277" s="8" t="s">
        <v>21</v>
      </c>
      <c r="H277" s="8">
        <v>1536</v>
      </c>
      <c r="I277" s="8">
        <v>-2.01202909863305</v>
      </c>
      <c r="J277" s="8">
        <v>-1.89181869592194</v>
      </c>
      <c r="K277" s="8">
        <v>-0.742016066792706</v>
      </c>
      <c r="L277" s="26"/>
      <c r="M277" s="10">
        <f t="shared" ref="M277:M293" si="20">(FLOOR(((SQRT(1+8*F277)-3))/2,0.1)*(FLOOR(((SQRT(1+8*F277)-3))/2,0.1)+1))/2</f>
        <v>264.375</v>
      </c>
      <c r="N277" s="18">
        <f t="shared" ref="N277:N293" si="21">ABS(B277-M277)</f>
        <v>75.625</v>
      </c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  <c r="AY277" s="2"/>
      <c r="AZ277" s="2"/>
      <c r="BA277" s="16"/>
      <c r="BB277" s="16"/>
      <c r="BC277" s="16"/>
      <c r="BD277" s="16"/>
      <c r="BE277" s="16"/>
      <c r="BF277" s="16"/>
      <c r="BG277" s="16"/>
      <c r="BH277" s="16"/>
      <c r="BI277" s="16"/>
      <c r="BJ277" s="16"/>
      <c r="BK277" s="16"/>
      <c r="BL277" s="2"/>
      <c r="BM277" s="15"/>
      <c r="BN277" s="21"/>
      <c r="BO277" s="15"/>
      <c r="BP277" s="15"/>
      <c r="BQ277" s="15"/>
      <c r="BR277" s="15"/>
      <c r="BS277" s="15"/>
      <c r="BT277" s="15"/>
      <c r="BU277" s="10"/>
      <c r="BV277" s="10"/>
      <c r="BW277" s="10"/>
      <c r="BX277" s="10"/>
    </row>
    <row r="278" spans="1:76">
      <c r="A278" s="8" t="s">
        <v>19</v>
      </c>
      <c r="B278" s="8">
        <v>340</v>
      </c>
      <c r="C278" s="8" t="s">
        <v>19</v>
      </c>
      <c r="D278" s="8">
        <v>340</v>
      </c>
      <c r="E278" s="8" t="s">
        <v>20</v>
      </c>
      <c r="F278" s="8">
        <v>324</v>
      </c>
      <c r="G278" s="8" t="s">
        <v>21</v>
      </c>
      <c r="H278" s="8">
        <v>1734</v>
      </c>
      <c r="I278" s="8">
        <v>-1.90055639405578</v>
      </c>
      <c r="J278" s="8">
        <v>-1.55502401116296</v>
      </c>
      <c r="K278" s="8">
        <v>0.0906878717460082</v>
      </c>
      <c r="L278" s="26"/>
      <c r="M278" s="10">
        <f t="shared" si="20"/>
        <v>297.555</v>
      </c>
      <c r="N278" s="18">
        <f t="shared" si="21"/>
        <v>42.4449999999999</v>
      </c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  <c r="AY278" s="2"/>
      <c r="AZ278" s="2"/>
      <c r="BA278" s="16"/>
      <c r="BB278" s="16"/>
      <c r="BC278" s="16"/>
      <c r="BD278" s="16"/>
      <c r="BE278" s="16"/>
      <c r="BF278" s="16"/>
      <c r="BG278" s="16"/>
      <c r="BH278" s="16"/>
      <c r="BI278" s="16"/>
      <c r="BJ278" s="16"/>
      <c r="BK278" s="16"/>
      <c r="BL278" s="2"/>
      <c r="BM278" s="15"/>
      <c r="BN278" s="21"/>
      <c r="BO278" s="16"/>
      <c r="BP278" s="16"/>
      <c r="BQ278" s="16"/>
      <c r="BR278" s="16"/>
      <c r="BS278" s="16"/>
      <c r="BT278" s="16"/>
      <c r="BU278" s="8"/>
      <c r="BV278" s="8"/>
      <c r="BW278" s="8"/>
      <c r="BX278" s="8"/>
    </row>
    <row r="279" spans="1:76">
      <c r="A279" s="9" t="s">
        <v>19</v>
      </c>
      <c r="B279" s="9">
        <v>340</v>
      </c>
      <c r="C279" s="9" t="s">
        <v>19</v>
      </c>
      <c r="D279" s="9">
        <v>340</v>
      </c>
      <c r="E279" s="9" t="s">
        <v>20</v>
      </c>
      <c r="F279" s="9">
        <v>361</v>
      </c>
      <c r="G279" s="9" t="s">
        <v>21</v>
      </c>
      <c r="H279" s="9">
        <v>1944</v>
      </c>
      <c r="I279" s="9">
        <v>-1.3959937485263</v>
      </c>
      <c r="J279" s="9">
        <v>-1.20314326686795</v>
      </c>
      <c r="K279" s="9">
        <v>0.634034337080445</v>
      </c>
      <c r="L279" s="27"/>
      <c r="M279" s="11">
        <f t="shared" si="20"/>
        <v>332.695</v>
      </c>
      <c r="N279" s="18">
        <f t="shared" si="21"/>
        <v>7.30500000000001</v>
      </c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  <c r="AY279" s="2"/>
      <c r="AZ279" s="2"/>
      <c r="BA279" s="21"/>
      <c r="BB279" s="21"/>
      <c r="BC279" s="21"/>
      <c r="BD279" s="21"/>
      <c r="BE279" s="21"/>
      <c r="BF279" s="21"/>
      <c r="BG279" s="21"/>
      <c r="BH279" s="21"/>
      <c r="BI279" s="21"/>
      <c r="BJ279" s="21"/>
      <c r="BK279" s="21"/>
      <c r="BL279" s="28"/>
      <c r="BM279" s="22"/>
      <c r="BN279" s="21"/>
      <c r="BO279" s="16"/>
      <c r="BP279" s="16"/>
      <c r="BQ279" s="16"/>
      <c r="BR279" s="16"/>
      <c r="BS279" s="16"/>
      <c r="BT279" s="16"/>
      <c r="BU279" s="8"/>
      <c r="BV279" s="8"/>
      <c r="BW279" s="8"/>
      <c r="BX279" s="8"/>
    </row>
    <row r="280" ht="23.25" spans="1:76">
      <c r="A280" s="8" t="s">
        <v>19</v>
      </c>
      <c r="B280" s="8">
        <v>340</v>
      </c>
      <c r="C280" s="8" t="s">
        <v>19</v>
      </c>
      <c r="D280" s="8">
        <v>340</v>
      </c>
      <c r="E280" s="8" t="s">
        <v>20</v>
      </c>
      <c r="F280" s="8">
        <v>400</v>
      </c>
      <c r="G280" s="8" t="s">
        <v>21</v>
      </c>
      <c r="H280" s="8">
        <v>2166</v>
      </c>
      <c r="I280" s="8">
        <v>-0.858183014366954</v>
      </c>
      <c r="J280" s="8">
        <v>-0.776005583566746</v>
      </c>
      <c r="K280" s="8">
        <v>1.21872182142988</v>
      </c>
      <c r="L280" s="26"/>
      <c r="M280" s="10">
        <f t="shared" si="20"/>
        <v>369.795</v>
      </c>
      <c r="N280" s="18">
        <f t="shared" si="21"/>
        <v>29.7950000000001</v>
      </c>
      <c r="AN280" s="14"/>
      <c r="AO280" s="14"/>
      <c r="AP280" s="14"/>
      <c r="AQ280" s="14"/>
      <c r="AR280" s="14"/>
      <c r="AS280" s="14"/>
      <c r="AT280" s="14"/>
      <c r="AU280" s="14"/>
      <c r="AV280" s="14"/>
      <c r="AW280" s="14"/>
      <c r="AX280" s="14"/>
      <c r="AY280" s="2"/>
      <c r="AZ280" s="2"/>
      <c r="BA280" s="16"/>
      <c r="BB280" s="16"/>
      <c r="BC280" s="16"/>
      <c r="BD280" s="16"/>
      <c r="BE280" s="16"/>
      <c r="BF280" s="16"/>
      <c r="BG280" s="16"/>
      <c r="BH280" s="16"/>
      <c r="BI280" s="16"/>
      <c r="BJ280" s="16"/>
      <c r="BK280" s="16"/>
      <c r="BL280" s="2"/>
      <c r="BM280" s="15"/>
      <c r="BN280" s="21"/>
      <c r="BO280" s="16"/>
      <c r="BP280" s="16"/>
      <c r="BQ280" s="16"/>
      <c r="BR280" s="16"/>
      <c r="BS280" s="16"/>
      <c r="BT280" s="16"/>
      <c r="BU280" s="8"/>
      <c r="BV280" s="8"/>
      <c r="BW280" s="8"/>
      <c r="BX280" s="8"/>
    </row>
    <row r="281" ht="23.25" spans="1:76">
      <c r="A281" s="8" t="s">
        <v>19</v>
      </c>
      <c r="B281" s="8">
        <v>340</v>
      </c>
      <c r="C281" s="8" t="s">
        <v>19</v>
      </c>
      <c r="D281" s="8">
        <v>340</v>
      </c>
      <c r="E281" s="8" t="s">
        <v>20</v>
      </c>
      <c r="F281" s="8">
        <v>441</v>
      </c>
      <c r="G281" s="8" t="s">
        <v>21</v>
      </c>
      <c r="H281" s="8">
        <v>2400</v>
      </c>
      <c r="I281" s="8">
        <v>-0.416748728933142</v>
      </c>
      <c r="J281" s="8">
        <v>-0.347506994555852</v>
      </c>
      <c r="K281" s="8">
        <v>1.88308520817828</v>
      </c>
      <c r="L281" s="26"/>
      <c r="M281" s="10">
        <f t="shared" si="20"/>
        <v>411.72</v>
      </c>
      <c r="N281" s="18">
        <f t="shared" si="21"/>
        <v>71.7200000000001</v>
      </c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  <c r="AY281" s="2"/>
      <c r="AZ281" s="2"/>
      <c r="BA281" s="16"/>
      <c r="BB281" s="16"/>
      <c r="BC281" s="16"/>
      <c r="BD281" s="16"/>
      <c r="BE281" s="16"/>
      <c r="BF281" s="16"/>
      <c r="BG281" s="16"/>
      <c r="BH281" s="16"/>
      <c r="BI281" s="16"/>
      <c r="BJ281" s="16"/>
      <c r="BK281" s="16"/>
      <c r="BL281" s="2"/>
      <c r="BM281" s="15"/>
      <c r="BN281" s="21"/>
      <c r="BO281" s="16"/>
      <c r="BP281" s="16"/>
      <c r="BQ281" s="16"/>
      <c r="BR281" s="16"/>
      <c r="BS281" s="16"/>
      <c r="BT281" s="16"/>
      <c r="BU281" s="8"/>
      <c r="BV281" s="8"/>
      <c r="BW281" s="8"/>
      <c r="BX281" s="8"/>
    </row>
    <row r="282" spans="1:76">
      <c r="A282" s="8" t="s">
        <v>19</v>
      </c>
      <c r="B282" s="8">
        <v>340</v>
      </c>
      <c r="C282" s="8" t="s">
        <v>19</v>
      </c>
      <c r="D282" s="8">
        <v>340</v>
      </c>
      <c r="E282" s="8" t="s">
        <v>20</v>
      </c>
      <c r="F282" s="8">
        <v>484</v>
      </c>
      <c r="G282" s="8" t="s">
        <v>21</v>
      </c>
      <c r="H282" s="8">
        <v>2646</v>
      </c>
      <c r="I282" s="8">
        <v>-0.0533024294513684</v>
      </c>
      <c r="J282" s="8">
        <v>-0.0457179026303987</v>
      </c>
      <c r="K282" s="8">
        <v>2.51536433561943</v>
      </c>
      <c r="L282" s="26"/>
      <c r="M282" s="10">
        <f t="shared" si="20"/>
        <v>452.88</v>
      </c>
      <c r="N282" s="18">
        <f t="shared" si="21"/>
        <v>112.88</v>
      </c>
      <c r="BA282" s="16"/>
      <c r="BB282" s="16"/>
      <c r="BC282" s="16"/>
      <c r="BD282" s="16"/>
      <c r="BE282" s="16"/>
      <c r="BF282" s="16"/>
      <c r="BG282" s="16"/>
      <c r="BH282" s="16"/>
      <c r="BI282" s="16"/>
      <c r="BJ282" s="16"/>
      <c r="BK282" s="16"/>
      <c r="BL282" s="2"/>
      <c r="BM282" s="15"/>
      <c r="BN282" s="21"/>
      <c r="BO282" s="16"/>
      <c r="BP282" s="16"/>
      <c r="BQ282" s="16"/>
      <c r="BR282" s="16"/>
      <c r="BS282" s="16"/>
      <c r="BT282" s="16"/>
      <c r="BU282" s="8"/>
      <c r="BV282" s="8"/>
      <c r="BW282" s="8"/>
      <c r="BX282" s="8"/>
    </row>
    <row r="283" spans="1:76">
      <c r="A283" s="8" t="s">
        <v>19</v>
      </c>
      <c r="B283" s="8">
        <v>340</v>
      </c>
      <c r="C283" s="8" t="s">
        <v>19</v>
      </c>
      <c r="D283" s="8">
        <v>340</v>
      </c>
      <c r="E283" s="8" t="s">
        <v>20</v>
      </c>
      <c r="F283" s="8">
        <v>529</v>
      </c>
      <c r="G283" s="8" t="s">
        <v>21</v>
      </c>
      <c r="H283" s="8">
        <v>2904</v>
      </c>
      <c r="I283" s="8">
        <v>-2.7012253113577e-6</v>
      </c>
      <c r="J283" s="8">
        <v>-2.11206914369943e-5</v>
      </c>
      <c r="K283" s="8">
        <v>2.27738775885635</v>
      </c>
      <c r="L283" s="26"/>
      <c r="M283" s="10">
        <f t="shared" si="20"/>
        <v>496</v>
      </c>
      <c r="N283" s="18">
        <f t="shared" si="21"/>
        <v>156</v>
      </c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  <c r="AY283" s="2"/>
      <c r="AZ283" s="2"/>
      <c r="BA283" s="16"/>
      <c r="BB283" s="16"/>
      <c r="BC283" s="16"/>
      <c r="BD283" s="16"/>
      <c r="BE283" s="16"/>
      <c r="BF283" s="16"/>
      <c r="BG283" s="16"/>
      <c r="BH283" s="16"/>
      <c r="BI283" s="16"/>
      <c r="BJ283" s="16"/>
      <c r="BK283" s="16"/>
      <c r="BL283" s="2"/>
      <c r="BM283" s="15"/>
      <c r="BN283" s="21"/>
      <c r="BO283" s="16"/>
      <c r="BP283" s="16"/>
      <c r="BQ283" s="16"/>
      <c r="BR283" s="16"/>
      <c r="BS283" s="16"/>
      <c r="BT283" s="16"/>
      <c r="BU283" s="8"/>
      <c r="BV283" s="8"/>
      <c r="BW283" s="8"/>
      <c r="BX283" s="8"/>
    </row>
    <row r="284" spans="1:76">
      <c r="A284" s="8" t="s">
        <v>19</v>
      </c>
      <c r="B284" s="8">
        <v>340</v>
      </c>
      <c r="C284" s="8" t="s">
        <v>19</v>
      </c>
      <c r="D284" s="8">
        <v>340</v>
      </c>
      <c r="E284" s="8" t="s">
        <v>20</v>
      </c>
      <c r="F284" s="8">
        <v>576</v>
      </c>
      <c r="G284" s="8" t="s">
        <v>21</v>
      </c>
      <c r="H284" s="8">
        <v>3174</v>
      </c>
      <c r="I284" s="8">
        <v>-2.97046254827646e-6</v>
      </c>
      <c r="J284" s="8">
        <v>-6.50485220757624e-6</v>
      </c>
      <c r="K284" s="8">
        <v>1.98141355163363</v>
      </c>
      <c r="L284" s="26"/>
      <c r="M284" s="10">
        <f t="shared" si="20"/>
        <v>541.08</v>
      </c>
      <c r="N284" s="18">
        <f t="shared" si="21"/>
        <v>201.08</v>
      </c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  <c r="AY284" s="2"/>
      <c r="AZ284" s="2"/>
      <c r="BA284" s="16"/>
      <c r="BB284" s="16"/>
      <c r="BC284" s="16"/>
      <c r="BD284" s="16"/>
      <c r="BE284" s="16"/>
      <c r="BF284" s="16"/>
      <c r="BG284" s="16"/>
      <c r="BH284" s="16"/>
      <c r="BI284" s="16"/>
      <c r="BJ284" s="16"/>
      <c r="BK284" s="16"/>
      <c r="BL284" s="2"/>
      <c r="BM284" s="15"/>
      <c r="BN284" s="21"/>
      <c r="BO284" s="16"/>
      <c r="BP284" s="16"/>
      <c r="BQ284" s="16"/>
      <c r="BR284" s="16"/>
      <c r="BS284" s="16"/>
      <c r="BT284" s="16"/>
      <c r="BU284" s="8"/>
      <c r="BV284" s="8"/>
      <c r="BW284" s="8"/>
      <c r="BX284" s="8"/>
    </row>
    <row r="285" spans="1:76">
      <c r="A285" s="8" t="s">
        <v>19</v>
      </c>
      <c r="B285" s="8">
        <v>340</v>
      </c>
      <c r="C285" s="8" t="s">
        <v>19</v>
      </c>
      <c r="D285" s="8">
        <v>340</v>
      </c>
      <c r="E285" s="8" t="s">
        <v>20</v>
      </c>
      <c r="F285" s="8">
        <v>625</v>
      </c>
      <c r="G285" s="8" t="s">
        <v>21</v>
      </c>
      <c r="H285" s="8">
        <v>3456</v>
      </c>
      <c r="I285" s="8">
        <v>-2.1111830486413e-6</v>
      </c>
      <c r="J285" s="8">
        <v>-3.41316791284811e-6</v>
      </c>
      <c r="K285" s="8">
        <v>1.81813396929145</v>
      </c>
      <c r="L285" s="26"/>
      <c r="M285" s="10">
        <f t="shared" si="20"/>
        <v>588.12</v>
      </c>
      <c r="N285" s="18">
        <f t="shared" si="21"/>
        <v>248.12</v>
      </c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  <c r="AY285" s="2"/>
      <c r="AZ285" s="2"/>
      <c r="BA285" s="16"/>
      <c r="BB285" s="16"/>
      <c r="BC285" s="16"/>
      <c r="BD285" s="16"/>
      <c r="BE285" s="16"/>
      <c r="BF285" s="16"/>
      <c r="BG285" s="16"/>
      <c r="BH285" s="16"/>
      <c r="BI285" s="16"/>
      <c r="BJ285" s="16"/>
      <c r="BK285" s="16"/>
      <c r="BL285" s="2"/>
      <c r="BM285" s="15"/>
      <c r="BN285" s="21"/>
      <c r="BO285" s="16"/>
      <c r="BP285" s="16"/>
      <c r="BQ285" s="16"/>
      <c r="BR285" s="16"/>
      <c r="BS285" s="16"/>
      <c r="BT285" s="16"/>
      <c r="BU285" s="8"/>
      <c r="BV285" s="8"/>
      <c r="BW285" s="8"/>
      <c r="BX285" s="8"/>
    </row>
    <row r="286" spans="1:76">
      <c r="A286" s="8" t="s">
        <v>19</v>
      </c>
      <c r="B286" s="8">
        <v>340</v>
      </c>
      <c r="C286" s="8" t="s">
        <v>19</v>
      </c>
      <c r="D286" s="8">
        <v>340</v>
      </c>
      <c r="E286" s="8" t="s">
        <v>20</v>
      </c>
      <c r="F286" s="8">
        <v>676</v>
      </c>
      <c r="G286" s="8" t="s">
        <v>21</v>
      </c>
      <c r="H286" s="8">
        <v>3750</v>
      </c>
      <c r="I286" s="8">
        <v>-2.55021589612067e-6</v>
      </c>
      <c r="J286" s="8">
        <v>-3.04334567806039e-6</v>
      </c>
      <c r="K286" s="8">
        <v>1.74870759787118</v>
      </c>
      <c r="L286" s="26"/>
      <c r="M286" s="10">
        <f t="shared" si="20"/>
        <v>637.12</v>
      </c>
      <c r="N286" s="18">
        <f t="shared" si="21"/>
        <v>297.12</v>
      </c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2"/>
      <c r="AZ286" s="2"/>
      <c r="BA286" s="16"/>
      <c r="BB286" s="16"/>
      <c r="BC286" s="16"/>
      <c r="BD286" s="16"/>
      <c r="BE286" s="16"/>
      <c r="BF286" s="16"/>
      <c r="BG286" s="16"/>
      <c r="BH286" s="16"/>
      <c r="BI286" s="16"/>
      <c r="BJ286" s="16"/>
      <c r="BK286" s="16"/>
      <c r="BL286" s="2"/>
      <c r="BM286" s="15"/>
      <c r="BN286" s="21"/>
      <c r="BO286" s="16"/>
      <c r="BP286" s="16"/>
      <c r="BQ286" s="16"/>
      <c r="BR286" s="16"/>
      <c r="BS286" s="16"/>
      <c r="BT286" s="16"/>
      <c r="BU286" s="8"/>
      <c r="BV286" s="8"/>
      <c r="BW286" s="8"/>
      <c r="BX286" s="8"/>
    </row>
    <row r="287" spans="1:76">
      <c r="A287" s="8" t="s">
        <v>19</v>
      </c>
      <c r="B287" s="8">
        <v>340</v>
      </c>
      <c r="C287" s="8" t="s">
        <v>19</v>
      </c>
      <c r="D287" s="8">
        <v>340</v>
      </c>
      <c r="E287" s="8" t="s">
        <v>20</v>
      </c>
      <c r="F287" s="8">
        <v>729</v>
      </c>
      <c r="G287" s="8" t="s">
        <v>21</v>
      </c>
      <c r="H287" s="8">
        <v>4056</v>
      </c>
      <c r="I287" s="8">
        <v>-6.75654595184133e-7</v>
      </c>
      <c r="J287" s="8">
        <v>-1.24252393674485e-6</v>
      </c>
      <c r="K287" s="8">
        <v>1.61276694056202</v>
      </c>
      <c r="L287" s="26"/>
      <c r="M287" s="10">
        <f t="shared" si="20"/>
        <v>688.08</v>
      </c>
      <c r="N287" s="18">
        <f t="shared" si="21"/>
        <v>348.08</v>
      </c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  <c r="AX287" s="16"/>
      <c r="AY287" s="2"/>
      <c r="AZ287" s="2"/>
      <c r="BA287" s="16"/>
      <c r="BB287" s="16"/>
      <c r="BC287" s="16"/>
      <c r="BD287" s="16"/>
      <c r="BE287" s="16"/>
      <c r="BF287" s="16"/>
      <c r="BG287" s="16"/>
      <c r="BH287" s="16"/>
      <c r="BI287" s="16"/>
      <c r="BJ287" s="16"/>
      <c r="BK287" s="16"/>
      <c r="BL287" s="2"/>
      <c r="BM287" s="15"/>
      <c r="BN287" s="21"/>
      <c r="BO287" s="16"/>
      <c r="BP287" s="16"/>
      <c r="BQ287" s="16"/>
      <c r="BR287" s="16"/>
      <c r="BS287" s="16"/>
      <c r="BT287" s="16"/>
      <c r="BU287" s="8"/>
      <c r="BV287" s="8"/>
      <c r="BW287" s="8"/>
      <c r="BX287" s="8"/>
    </row>
    <row r="288" spans="1:76">
      <c r="A288" s="8" t="s">
        <v>19</v>
      </c>
      <c r="B288" s="8">
        <v>340</v>
      </c>
      <c r="C288" s="8" t="s">
        <v>19</v>
      </c>
      <c r="D288" s="8">
        <v>340</v>
      </c>
      <c r="E288" s="8" t="s">
        <v>20</v>
      </c>
      <c r="F288" s="8">
        <v>784</v>
      </c>
      <c r="G288" s="8" t="s">
        <v>21</v>
      </c>
      <c r="H288" s="8">
        <v>4374</v>
      </c>
      <c r="I288" s="8">
        <v>-1.42706665327079e-6</v>
      </c>
      <c r="J288" s="8">
        <v>-1.65116340954655e-6</v>
      </c>
      <c r="K288" s="8">
        <v>1.60881803697317</v>
      </c>
      <c r="L288" s="26"/>
      <c r="M288" s="10">
        <f t="shared" si="20"/>
        <v>744.855</v>
      </c>
      <c r="N288" s="18">
        <f t="shared" si="21"/>
        <v>404.855</v>
      </c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  <c r="AY288" s="2"/>
      <c r="AZ288" s="2"/>
      <c r="BA288" s="16"/>
      <c r="BB288" s="16"/>
      <c r="BC288" s="16"/>
      <c r="BD288" s="16"/>
      <c r="BE288" s="16"/>
      <c r="BF288" s="16"/>
      <c r="BG288" s="16"/>
      <c r="BH288" s="16"/>
      <c r="BI288" s="16"/>
      <c r="BJ288" s="16"/>
      <c r="BK288" s="16"/>
      <c r="BL288" s="2"/>
      <c r="BM288" s="15"/>
      <c r="BN288" s="21"/>
      <c r="BO288" s="16"/>
      <c r="BP288" s="16"/>
      <c r="BQ288" s="16"/>
      <c r="BR288" s="16"/>
      <c r="BS288" s="16"/>
      <c r="BT288" s="16"/>
      <c r="BU288" s="8"/>
      <c r="BV288" s="8"/>
      <c r="BW288" s="8"/>
      <c r="BX288" s="8"/>
    </row>
    <row r="289" spans="1:76">
      <c r="A289" s="8" t="s">
        <v>19</v>
      </c>
      <c r="B289" s="8">
        <v>340</v>
      </c>
      <c r="C289" s="8" t="s">
        <v>19</v>
      </c>
      <c r="D289" s="8">
        <v>340</v>
      </c>
      <c r="E289" s="8" t="s">
        <v>20</v>
      </c>
      <c r="F289" s="8">
        <v>841</v>
      </c>
      <c r="G289" s="8" t="s">
        <v>21</v>
      </c>
      <c r="H289" s="8">
        <v>4704</v>
      </c>
      <c r="I289" s="8">
        <v>-3.39667555793324e-7</v>
      </c>
      <c r="J289" s="8">
        <v>-7.1891472984586e-7</v>
      </c>
      <c r="K289" s="8">
        <v>1.50190085766028</v>
      </c>
      <c r="L289" s="26"/>
      <c r="M289" s="10">
        <f t="shared" si="20"/>
        <v>799.875</v>
      </c>
      <c r="N289" s="18">
        <f t="shared" si="21"/>
        <v>459.875</v>
      </c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  <c r="AX289" s="16"/>
      <c r="AY289" s="2"/>
      <c r="AZ289" s="2"/>
      <c r="BA289" s="16"/>
      <c r="BB289" s="16"/>
      <c r="BC289" s="16"/>
      <c r="BD289" s="16"/>
      <c r="BE289" s="16"/>
      <c r="BF289" s="16"/>
      <c r="BG289" s="16"/>
      <c r="BH289" s="16"/>
      <c r="BI289" s="16"/>
      <c r="BJ289" s="16"/>
      <c r="BK289" s="16"/>
      <c r="BL289" s="2"/>
      <c r="BM289" s="15"/>
      <c r="BN289" s="21"/>
      <c r="BO289" s="16"/>
      <c r="BP289" s="16"/>
      <c r="BQ289" s="16"/>
      <c r="BR289" s="16"/>
      <c r="BS289" s="16"/>
      <c r="BT289" s="16"/>
      <c r="BU289" s="8"/>
      <c r="BV289" s="8"/>
      <c r="BW289" s="8"/>
      <c r="BX289" s="8"/>
    </row>
    <row r="290" spans="1:76">
      <c r="A290" s="8" t="s">
        <v>19</v>
      </c>
      <c r="B290" s="8">
        <v>340</v>
      </c>
      <c r="C290" s="8" t="s">
        <v>19</v>
      </c>
      <c r="D290" s="8">
        <v>340</v>
      </c>
      <c r="E290" s="8" t="s">
        <v>20</v>
      </c>
      <c r="F290" s="8">
        <v>900</v>
      </c>
      <c r="G290" s="8" t="s">
        <v>21</v>
      </c>
      <c r="H290" s="8">
        <v>5046</v>
      </c>
      <c r="I290" s="8">
        <v>-5.27508954231397e-7</v>
      </c>
      <c r="J290" s="8">
        <v>-7.72665393612643e-7</v>
      </c>
      <c r="K290" s="8">
        <v>1.47535149537957</v>
      </c>
      <c r="L290" s="26"/>
      <c r="M290" s="10">
        <f t="shared" si="20"/>
        <v>856.855</v>
      </c>
      <c r="N290" s="18">
        <f t="shared" si="21"/>
        <v>516.855</v>
      </c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  <c r="AX290" s="16"/>
      <c r="AY290" s="2"/>
      <c r="AZ290" s="2"/>
      <c r="BA290" s="16"/>
      <c r="BB290" s="16"/>
      <c r="BC290" s="16"/>
      <c r="BD290" s="16"/>
      <c r="BE290" s="16"/>
      <c r="BF290" s="16"/>
      <c r="BG290" s="16"/>
      <c r="BH290" s="16"/>
      <c r="BI290" s="16"/>
      <c r="BJ290" s="16"/>
      <c r="BK290" s="16"/>
      <c r="BL290" s="2"/>
      <c r="BM290" s="15"/>
      <c r="BN290" s="21"/>
      <c r="BO290" s="16"/>
      <c r="BP290" s="16"/>
      <c r="BQ290" s="16"/>
      <c r="BR290" s="16"/>
      <c r="BS290" s="16"/>
      <c r="BT290" s="16"/>
      <c r="BU290" s="8"/>
      <c r="BV290" s="8"/>
      <c r="BW290" s="8"/>
      <c r="BX290" s="8"/>
    </row>
    <row r="291" spans="1:76">
      <c r="A291" s="8" t="s">
        <v>19</v>
      </c>
      <c r="B291" s="8">
        <v>340</v>
      </c>
      <c r="C291" s="8" t="s">
        <v>19</v>
      </c>
      <c r="D291" s="8">
        <v>340</v>
      </c>
      <c r="E291" s="8" t="s">
        <v>20</v>
      </c>
      <c r="F291" s="8">
        <v>961</v>
      </c>
      <c r="G291" s="8" t="s">
        <v>21</v>
      </c>
      <c r="H291" s="8">
        <v>5400</v>
      </c>
      <c r="I291" s="8">
        <v>-4.7114397195722e-7</v>
      </c>
      <c r="J291" s="8">
        <v>-6.42662391466565e-7</v>
      </c>
      <c r="K291" s="8">
        <v>1.41860223022688</v>
      </c>
      <c r="L291" s="26"/>
      <c r="M291" s="10">
        <f t="shared" si="20"/>
        <v>915.795</v>
      </c>
      <c r="N291" s="18">
        <f t="shared" si="21"/>
        <v>575.795</v>
      </c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  <c r="AX291" s="16"/>
      <c r="AY291" s="2"/>
      <c r="AZ291" s="2"/>
      <c r="BA291" s="16"/>
      <c r="BB291" s="16"/>
      <c r="BC291" s="16"/>
      <c r="BD291" s="16"/>
      <c r="BE291" s="16"/>
      <c r="BF291" s="16"/>
      <c r="BG291" s="16"/>
      <c r="BH291" s="16"/>
      <c r="BI291" s="16"/>
      <c r="BJ291" s="16"/>
      <c r="BK291" s="16"/>
      <c r="BL291" s="2"/>
      <c r="BM291" s="15"/>
      <c r="BN291" s="21"/>
      <c r="BO291" s="16"/>
      <c r="BP291" s="16"/>
      <c r="BQ291" s="16"/>
      <c r="BR291" s="16"/>
      <c r="BS291" s="16"/>
      <c r="BT291" s="16"/>
      <c r="BU291" s="8"/>
      <c r="BV291" s="8"/>
      <c r="BW291" s="8"/>
      <c r="BX291" s="8"/>
    </row>
    <row r="292" spans="1:76">
      <c r="A292" s="8" t="s">
        <v>19</v>
      </c>
      <c r="B292" s="8">
        <v>340</v>
      </c>
      <c r="C292" s="8" t="s">
        <v>19</v>
      </c>
      <c r="D292" s="8">
        <v>340</v>
      </c>
      <c r="E292" s="8" t="s">
        <v>20</v>
      </c>
      <c r="F292" s="8">
        <v>1024</v>
      </c>
      <c r="G292" s="8" t="s">
        <v>21</v>
      </c>
      <c r="H292" s="8">
        <v>5766</v>
      </c>
      <c r="I292" s="8">
        <v>-4.4396181704957e-7</v>
      </c>
      <c r="J292" s="8">
        <v>-5.12707257006108e-7</v>
      </c>
      <c r="K292" s="8">
        <v>1.34075978474415</v>
      </c>
      <c r="L292" s="26"/>
      <c r="M292" s="10">
        <f t="shared" si="20"/>
        <v>976.695</v>
      </c>
      <c r="N292" s="18">
        <f t="shared" si="21"/>
        <v>636.695</v>
      </c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  <c r="AX292" s="16"/>
      <c r="AY292" s="2"/>
      <c r="AZ292" s="2"/>
      <c r="BA292" s="16"/>
      <c r="BB292" s="16"/>
      <c r="BC292" s="16"/>
      <c r="BD292" s="16"/>
      <c r="BE292" s="16"/>
      <c r="BF292" s="16"/>
      <c r="BG292" s="16"/>
      <c r="BH292" s="16"/>
      <c r="BI292" s="16"/>
      <c r="BJ292" s="16"/>
      <c r="BK292" s="16"/>
      <c r="BL292" s="2"/>
      <c r="BM292" s="15"/>
      <c r="BN292" s="21"/>
      <c r="BO292" s="16"/>
      <c r="BP292" s="16"/>
      <c r="BQ292" s="16"/>
      <c r="BR292" s="16"/>
      <c r="BS292" s="16"/>
      <c r="BT292" s="16"/>
      <c r="BU292" s="8"/>
      <c r="BV292" s="8"/>
      <c r="BW292" s="8"/>
      <c r="BX292" s="8"/>
    </row>
    <row r="293" spans="1:76">
      <c r="A293" s="8" t="s">
        <v>19</v>
      </c>
      <c r="B293" s="8">
        <v>340</v>
      </c>
      <c r="C293" s="8" t="s">
        <v>19</v>
      </c>
      <c r="D293" s="8">
        <v>340</v>
      </c>
      <c r="E293" s="8" t="s">
        <v>20</v>
      </c>
      <c r="F293" s="8">
        <v>1089</v>
      </c>
      <c r="G293" s="8" t="s">
        <v>21</v>
      </c>
      <c r="H293" s="8">
        <v>6144</v>
      </c>
      <c r="I293" s="8">
        <v>-6.21100829289929e-7</v>
      </c>
      <c r="J293" s="8">
        <v>-5.79343755910032e-7</v>
      </c>
      <c r="K293" s="8">
        <v>1.3164830646226</v>
      </c>
      <c r="L293" s="26"/>
      <c r="M293" s="10">
        <f t="shared" si="20"/>
        <v>1039.555</v>
      </c>
      <c r="N293" s="18">
        <f t="shared" si="21"/>
        <v>699.555</v>
      </c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  <c r="AX293" s="16"/>
      <c r="AY293" s="2"/>
      <c r="AZ293" s="2"/>
      <c r="BA293" s="16"/>
      <c r="BB293" s="16"/>
      <c r="BC293" s="16"/>
      <c r="BD293" s="16"/>
      <c r="BE293" s="16"/>
      <c r="BF293" s="16"/>
      <c r="BG293" s="16"/>
      <c r="BH293" s="16"/>
      <c r="BI293" s="16"/>
      <c r="BJ293" s="16"/>
      <c r="BK293" s="16"/>
      <c r="BL293" s="2"/>
      <c r="BM293" s="15"/>
      <c r="BN293" s="21"/>
      <c r="BO293" s="16"/>
      <c r="BP293" s="16"/>
      <c r="BQ293" s="16"/>
      <c r="BR293" s="16"/>
      <c r="BS293" s="16"/>
      <c r="BT293" s="16"/>
      <c r="BU293" s="8"/>
      <c r="BV293" s="8"/>
      <c r="BW293" s="8"/>
      <c r="BX293" s="8"/>
    </row>
    <row r="294" ht="23.25" spans="1:76">
      <c r="A294" s="7" t="s">
        <v>32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26"/>
      <c r="M294" s="10"/>
      <c r="N294" s="18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  <c r="AY294" s="2"/>
      <c r="AZ294" s="2"/>
      <c r="BA294" s="20"/>
      <c r="BB294" s="20"/>
      <c r="BC294" s="20"/>
      <c r="BD294" s="20"/>
      <c r="BE294" s="20"/>
      <c r="BF294" s="20"/>
      <c r="BG294" s="20"/>
      <c r="BH294" s="20"/>
      <c r="BI294" s="20"/>
      <c r="BJ294" s="20"/>
      <c r="BK294" s="20"/>
      <c r="BL294" s="2"/>
      <c r="BM294" s="15"/>
      <c r="BN294" s="21"/>
      <c r="BO294" s="16"/>
      <c r="BP294" s="16"/>
      <c r="BQ294" s="16"/>
      <c r="BR294" s="16"/>
      <c r="BS294" s="16"/>
      <c r="BT294" s="16"/>
      <c r="BU294" s="8"/>
      <c r="BV294" s="8"/>
      <c r="BW294" s="8"/>
      <c r="BX294" s="8"/>
    </row>
    <row r="295" ht="23.25" spans="1:76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26"/>
      <c r="M295" s="10"/>
      <c r="N295" s="18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"/>
      <c r="AX295" s="16"/>
      <c r="AY295" s="2"/>
      <c r="AZ295" s="2"/>
      <c r="BA295" s="20"/>
      <c r="BB295" s="20"/>
      <c r="BC295" s="20"/>
      <c r="BD295" s="20"/>
      <c r="BE295" s="20"/>
      <c r="BF295" s="20"/>
      <c r="BG295" s="20"/>
      <c r="BH295" s="20"/>
      <c r="BI295" s="20"/>
      <c r="BJ295" s="20"/>
      <c r="BK295" s="20"/>
      <c r="BL295" s="2"/>
      <c r="BM295" s="15"/>
      <c r="BN295" s="21"/>
      <c r="BO295" s="14"/>
      <c r="BP295" s="14"/>
      <c r="BQ295" s="14"/>
      <c r="BR295" s="14"/>
      <c r="BS295" s="14"/>
      <c r="BT295" s="14"/>
      <c r="BU295" s="24"/>
      <c r="BV295" s="24"/>
      <c r="BW295" s="24"/>
      <c r="BX295" s="24"/>
    </row>
    <row r="296" ht="23.25" spans="1:76">
      <c r="A296" s="8" t="s">
        <v>7</v>
      </c>
      <c r="B296" s="8" t="s">
        <v>8</v>
      </c>
      <c r="C296" s="8" t="s">
        <v>9</v>
      </c>
      <c r="D296" s="8" t="s">
        <v>10</v>
      </c>
      <c r="E296" s="8" t="s">
        <v>11</v>
      </c>
      <c r="F296" s="8" t="s">
        <v>12</v>
      </c>
      <c r="G296" s="8" t="s">
        <v>13</v>
      </c>
      <c r="H296" s="8" t="s">
        <v>14</v>
      </c>
      <c r="I296" s="8" t="s">
        <v>15</v>
      </c>
      <c r="J296" s="8" t="s">
        <v>16</v>
      </c>
      <c r="K296" s="8" t="s">
        <v>17</v>
      </c>
      <c r="L296" s="26"/>
      <c r="M296" s="10"/>
      <c r="N296" s="18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  <c r="AX296" s="16"/>
      <c r="AY296" s="2"/>
      <c r="AZ296" s="2"/>
      <c r="BA296" s="16"/>
      <c r="BB296" s="16"/>
      <c r="BC296" s="16"/>
      <c r="BD296" s="16"/>
      <c r="BE296" s="16"/>
      <c r="BF296" s="16"/>
      <c r="BG296" s="16"/>
      <c r="BH296" s="16"/>
      <c r="BI296" s="16"/>
      <c r="BJ296" s="16"/>
      <c r="BK296" s="16"/>
      <c r="BL296" s="2"/>
      <c r="BM296" s="15"/>
      <c r="BN296" s="21"/>
      <c r="BO296" s="14"/>
      <c r="BP296" s="14"/>
      <c r="BQ296" s="14"/>
      <c r="BR296" s="14"/>
      <c r="BS296" s="14"/>
      <c r="BT296" s="14"/>
      <c r="BU296" s="24"/>
      <c r="BV296" s="24"/>
      <c r="BW296" s="24"/>
      <c r="BX296" s="24"/>
    </row>
    <row r="297" spans="1:76">
      <c r="A297" s="8" t="s">
        <v>19</v>
      </c>
      <c r="B297" s="8">
        <v>380</v>
      </c>
      <c r="C297" s="8" t="s">
        <v>19</v>
      </c>
      <c r="D297" s="8">
        <v>340</v>
      </c>
      <c r="E297" s="8" t="s">
        <v>20</v>
      </c>
      <c r="F297" s="8">
        <v>324</v>
      </c>
      <c r="G297" s="8" t="s">
        <v>21</v>
      </c>
      <c r="H297" s="8">
        <v>1734</v>
      </c>
      <c r="I297" s="8">
        <v>-2.2111916900278</v>
      </c>
      <c r="J297" s="8">
        <v>-1.91896496593651</v>
      </c>
      <c r="K297" s="8">
        <v>-0.460815088440207</v>
      </c>
      <c r="L297" s="26"/>
      <c r="M297" s="10">
        <f t="shared" ref="M297:M312" si="22">(FLOOR(((SQRT(1+8*F297)-3))/2,0.1)*(FLOOR(((SQRT(1+8*F297)-3))/2,0.1)+1))/2</f>
        <v>297.555</v>
      </c>
      <c r="N297" s="18">
        <f t="shared" ref="N297:N312" si="23">ABS(B297-M297)</f>
        <v>82.4449999999999</v>
      </c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  <c r="AY297" s="2"/>
      <c r="AZ297" s="2"/>
      <c r="BA297" s="16"/>
      <c r="BB297" s="16"/>
      <c r="BC297" s="16"/>
      <c r="BD297" s="16"/>
      <c r="BE297" s="16"/>
      <c r="BF297" s="16"/>
      <c r="BG297" s="16"/>
      <c r="BH297" s="16"/>
      <c r="BI297" s="16"/>
      <c r="BJ297" s="16"/>
      <c r="BK297" s="16"/>
      <c r="BL297" s="2"/>
      <c r="BM297" s="15"/>
      <c r="BN297" s="21"/>
      <c r="BO297" s="15"/>
      <c r="BP297" s="15"/>
      <c r="BQ297" s="15"/>
      <c r="BR297" s="15"/>
      <c r="BS297" s="15"/>
      <c r="BT297" s="15"/>
      <c r="BU297" s="10"/>
      <c r="BV297" s="10"/>
      <c r="BW297" s="10"/>
      <c r="BX297" s="10"/>
    </row>
    <row r="298" spans="1:76">
      <c r="A298" s="8" t="s">
        <v>19</v>
      </c>
      <c r="B298" s="8">
        <v>380</v>
      </c>
      <c r="C298" s="8" t="s">
        <v>19</v>
      </c>
      <c r="D298" s="8">
        <v>340</v>
      </c>
      <c r="E298" s="8" t="s">
        <v>20</v>
      </c>
      <c r="F298" s="8">
        <v>361</v>
      </c>
      <c r="G298" s="8" t="s">
        <v>21</v>
      </c>
      <c r="H298" s="8">
        <v>1944</v>
      </c>
      <c r="I298" s="8">
        <v>-2.02390070604456</v>
      </c>
      <c r="J298" s="8">
        <v>-1.66984569577307</v>
      </c>
      <c r="K298" s="8">
        <v>0.197669086953539</v>
      </c>
      <c r="L298" s="26"/>
      <c r="M298" s="10">
        <f t="shared" si="22"/>
        <v>332.695</v>
      </c>
      <c r="N298" s="18">
        <f t="shared" si="23"/>
        <v>47.305</v>
      </c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  <c r="AX298" s="16"/>
      <c r="AY298" s="2"/>
      <c r="AZ298" s="2"/>
      <c r="BA298" s="16"/>
      <c r="BB298" s="16"/>
      <c r="BC298" s="16"/>
      <c r="BD298" s="16"/>
      <c r="BE298" s="16"/>
      <c r="BF298" s="16"/>
      <c r="BG298" s="16"/>
      <c r="BH298" s="16"/>
      <c r="BI298" s="16"/>
      <c r="BJ298" s="16"/>
      <c r="BK298" s="16"/>
      <c r="BL298" s="2"/>
      <c r="BM298" s="15"/>
      <c r="BN298" s="21"/>
      <c r="BO298" s="16"/>
      <c r="BP298" s="16"/>
      <c r="BQ298" s="16"/>
      <c r="BR298" s="16"/>
      <c r="BS298" s="16"/>
      <c r="BT298" s="16"/>
      <c r="BU298" s="8"/>
      <c r="BV298" s="8"/>
      <c r="BW298" s="8"/>
      <c r="BX298" s="8"/>
    </row>
    <row r="299" spans="1:76">
      <c r="A299" s="9" t="s">
        <v>19</v>
      </c>
      <c r="B299" s="9">
        <v>380</v>
      </c>
      <c r="C299" s="9" t="s">
        <v>19</v>
      </c>
      <c r="D299" s="9">
        <v>340</v>
      </c>
      <c r="E299" s="9" t="s">
        <v>20</v>
      </c>
      <c r="F299" s="9">
        <v>400</v>
      </c>
      <c r="G299" s="9" t="s">
        <v>21</v>
      </c>
      <c r="H299" s="9">
        <v>2166</v>
      </c>
      <c r="I299" s="9">
        <v>-1.51568734028855</v>
      </c>
      <c r="J299" s="9">
        <v>-1.31488378001506</v>
      </c>
      <c r="K299" s="9">
        <v>0.768971149679676</v>
      </c>
      <c r="L299" s="27"/>
      <c r="M299" s="11">
        <f t="shared" si="22"/>
        <v>369.795</v>
      </c>
      <c r="N299" s="18">
        <f t="shared" si="23"/>
        <v>10.2049999999999</v>
      </c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  <c r="AX299" s="16"/>
      <c r="AY299" s="2"/>
      <c r="AZ299" s="2"/>
      <c r="BA299" s="21"/>
      <c r="BB299" s="21"/>
      <c r="BC299" s="21"/>
      <c r="BD299" s="21"/>
      <c r="BE299" s="21"/>
      <c r="BF299" s="21"/>
      <c r="BG299" s="21"/>
      <c r="BH299" s="21"/>
      <c r="BI299" s="21"/>
      <c r="BJ299" s="21"/>
      <c r="BK299" s="21"/>
      <c r="BL299" s="28"/>
      <c r="BM299" s="22"/>
      <c r="BN299" s="21"/>
      <c r="BO299" s="16"/>
      <c r="BP299" s="16"/>
      <c r="BQ299" s="16"/>
      <c r="BR299" s="16"/>
      <c r="BS299" s="16"/>
      <c r="BT299" s="16"/>
      <c r="BU299" s="8"/>
      <c r="BV299" s="8"/>
      <c r="BW299" s="8"/>
      <c r="BX299" s="8"/>
    </row>
    <row r="300" spans="1:76">
      <c r="A300" s="8" t="s">
        <v>19</v>
      </c>
      <c r="B300" s="8">
        <v>380</v>
      </c>
      <c r="C300" s="8" t="s">
        <v>19</v>
      </c>
      <c r="D300" s="8">
        <v>340</v>
      </c>
      <c r="E300" s="8" t="s">
        <v>20</v>
      </c>
      <c r="F300" s="8">
        <v>441</v>
      </c>
      <c r="G300" s="8" t="s">
        <v>21</v>
      </c>
      <c r="H300" s="8">
        <v>2400</v>
      </c>
      <c r="I300" s="8">
        <v>-0.746311372399167</v>
      </c>
      <c r="J300" s="8">
        <v>-0.673388741029193</v>
      </c>
      <c r="K300" s="8">
        <v>1.4240412238897</v>
      </c>
      <c r="L300" s="26"/>
      <c r="M300" s="10">
        <f t="shared" si="22"/>
        <v>411.72</v>
      </c>
      <c r="N300" s="18">
        <f t="shared" si="23"/>
        <v>31.7200000000001</v>
      </c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  <c r="AX300" s="16"/>
      <c r="AY300" s="2"/>
      <c r="AZ300" s="2"/>
      <c r="BA300" s="16"/>
      <c r="BB300" s="16"/>
      <c r="BC300" s="16"/>
      <c r="BD300" s="16"/>
      <c r="BE300" s="16"/>
      <c r="BF300" s="16"/>
      <c r="BG300" s="16"/>
      <c r="BH300" s="16"/>
      <c r="BI300" s="16"/>
      <c r="BJ300" s="16"/>
      <c r="BK300" s="16"/>
      <c r="BL300" s="2"/>
      <c r="BM300" s="15"/>
      <c r="BN300" s="21"/>
      <c r="BO300" s="16"/>
      <c r="BP300" s="16"/>
      <c r="BQ300" s="16"/>
      <c r="BR300" s="16"/>
      <c r="BS300" s="16"/>
      <c r="BT300" s="16"/>
      <c r="BU300" s="8"/>
      <c r="BV300" s="8"/>
      <c r="BW300" s="8"/>
      <c r="BX300" s="8"/>
    </row>
    <row r="301" ht="23.25" spans="1:76">
      <c r="A301" s="8" t="s">
        <v>19</v>
      </c>
      <c r="B301" s="8">
        <v>380</v>
      </c>
      <c r="C301" s="8" t="s">
        <v>19</v>
      </c>
      <c r="D301" s="8">
        <v>340</v>
      </c>
      <c r="E301" s="8" t="s">
        <v>20</v>
      </c>
      <c r="F301" s="8">
        <v>484</v>
      </c>
      <c r="G301" s="8" t="s">
        <v>21</v>
      </c>
      <c r="H301" s="8">
        <v>2646</v>
      </c>
      <c r="I301" s="8">
        <v>-0.234047958802706</v>
      </c>
      <c r="J301" s="8">
        <v>-0.226084299020665</v>
      </c>
      <c r="K301" s="8">
        <v>2.21812108666916</v>
      </c>
      <c r="L301" s="26"/>
      <c r="M301" s="10">
        <f t="shared" si="22"/>
        <v>452.88</v>
      </c>
      <c r="N301" s="18">
        <f t="shared" si="23"/>
        <v>72.8800000000001</v>
      </c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2"/>
      <c r="AZ301" s="2"/>
      <c r="BA301" s="16"/>
      <c r="BB301" s="16"/>
      <c r="BC301" s="16"/>
      <c r="BD301" s="16"/>
      <c r="BE301" s="16"/>
      <c r="BF301" s="16"/>
      <c r="BG301" s="16"/>
      <c r="BH301" s="16"/>
      <c r="BI301" s="16"/>
      <c r="BJ301" s="16"/>
      <c r="BK301" s="16"/>
      <c r="BL301" s="2"/>
      <c r="BM301" s="15"/>
      <c r="BN301" s="21"/>
      <c r="BO301" s="16"/>
      <c r="BP301" s="16"/>
      <c r="BQ301" s="16"/>
      <c r="BR301" s="16"/>
      <c r="BS301" s="16"/>
      <c r="BT301" s="16"/>
      <c r="BU301" s="8"/>
      <c r="BV301" s="8"/>
      <c r="BW301" s="8"/>
      <c r="BX301" s="8"/>
    </row>
    <row r="302" ht="23.25" spans="1:76">
      <c r="A302" s="8" t="s">
        <v>19</v>
      </c>
      <c r="B302" s="8">
        <v>380</v>
      </c>
      <c r="C302" s="8" t="s">
        <v>19</v>
      </c>
      <c r="D302" s="8">
        <v>340</v>
      </c>
      <c r="E302" s="8" t="s">
        <v>20</v>
      </c>
      <c r="F302" s="8">
        <v>529</v>
      </c>
      <c r="G302" s="8" t="s">
        <v>21</v>
      </c>
      <c r="H302" s="8">
        <v>2904</v>
      </c>
      <c r="I302" s="8">
        <v>-9.47384605782082e-5</v>
      </c>
      <c r="J302" s="8">
        <v>-0.000527998127639645</v>
      </c>
      <c r="K302" s="8">
        <v>2.82627422241828</v>
      </c>
      <c r="L302" s="26"/>
      <c r="M302" s="10">
        <f t="shared" si="22"/>
        <v>496</v>
      </c>
      <c r="N302" s="18">
        <f t="shared" si="23"/>
        <v>116</v>
      </c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  <c r="AX302" s="14"/>
      <c r="AY302" s="2"/>
      <c r="AZ302" s="2"/>
      <c r="BA302" s="16"/>
      <c r="BB302" s="16"/>
      <c r="BC302" s="16"/>
      <c r="BD302" s="16"/>
      <c r="BE302" s="16"/>
      <c r="BF302" s="16"/>
      <c r="BG302" s="16"/>
      <c r="BH302" s="16"/>
      <c r="BI302" s="16"/>
      <c r="BJ302" s="16"/>
      <c r="BK302" s="16"/>
      <c r="BL302" s="2"/>
      <c r="BM302" s="15"/>
      <c r="BN302" s="21"/>
      <c r="BO302" s="16"/>
      <c r="BP302" s="16"/>
      <c r="BQ302" s="16"/>
      <c r="BR302" s="16"/>
      <c r="BS302" s="16"/>
      <c r="BT302" s="16"/>
      <c r="BU302" s="8"/>
      <c r="BV302" s="8"/>
      <c r="BW302" s="8"/>
      <c r="BX302" s="8"/>
    </row>
    <row r="303" spans="1:76">
      <c r="A303" s="8" t="s">
        <v>19</v>
      </c>
      <c r="B303" s="8">
        <v>380</v>
      </c>
      <c r="C303" s="8" t="s">
        <v>19</v>
      </c>
      <c r="D303" s="8">
        <v>340</v>
      </c>
      <c r="E303" s="8" t="s">
        <v>20</v>
      </c>
      <c r="F303" s="8">
        <v>576</v>
      </c>
      <c r="G303" s="8" t="s">
        <v>21</v>
      </c>
      <c r="H303" s="8">
        <v>3174</v>
      </c>
      <c r="I303" s="8">
        <v>-1.4831864495365e-5</v>
      </c>
      <c r="J303" s="8">
        <v>-1.70940172670739e-5</v>
      </c>
      <c r="K303" s="8">
        <v>2.10052723151413</v>
      </c>
      <c r="L303" s="26"/>
      <c r="M303" s="10">
        <f t="shared" si="22"/>
        <v>541.08</v>
      </c>
      <c r="N303" s="18">
        <f t="shared" si="23"/>
        <v>161.08</v>
      </c>
      <c r="BA303" s="16"/>
      <c r="BB303" s="16"/>
      <c r="BC303" s="16"/>
      <c r="BD303" s="16"/>
      <c r="BE303" s="16"/>
      <c r="BF303" s="16"/>
      <c r="BG303" s="16"/>
      <c r="BH303" s="16"/>
      <c r="BI303" s="16"/>
      <c r="BJ303" s="16"/>
      <c r="BK303" s="16"/>
      <c r="BL303" s="2"/>
      <c r="BM303" s="15"/>
      <c r="BN303" s="21"/>
      <c r="BO303" s="16"/>
      <c r="BP303" s="16"/>
      <c r="BQ303" s="16"/>
      <c r="BR303" s="16"/>
      <c r="BS303" s="16"/>
      <c r="BT303" s="16"/>
      <c r="BU303" s="8"/>
      <c r="BV303" s="8"/>
      <c r="BW303" s="8"/>
      <c r="BX303" s="8"/>
    </row>
    <row r="304" spans="1:76">
      <c r="A304" s="8" t="s">
        <v>19</v>
      </c>
      <c r="B304" s="8">
        <v>380</v>
      </c>
      <c r="C304" s="8" t="s">
        <v>19</v>
      </c>
      <c r="D304" s="8">
        <v>340</v>
      </c>
      <c r="E304" s="8" t="s">
        <v>20</v>
      </c>
      <c r="F304" s="8">
        <v>625</v>
      </c>
      <c r="G304" s="8" t="s">
        <v>21</v>
      </c>
      <c r="H304" s="8">
        <v>3456</v>
      </c>
      <c r="I304" s="8">
        <v>-6.066104306229e-6</v>
      </c>
      <c r="J304" s="8">
        <v>-7.06710801175293e-6</v>
      </c>
      <c r="K304" s="8">
        <v>1.9177315994855</v>
      </c>
      <c r="L304" s="26"/>
      <c r="M304" s="10">
        <f t="shared" si="22"/>
        <v>588.12</v>
      </c>
      <c r="N304" s="18">
        <f t="shared" si="23"/>
        <v>208.12</v>
      </c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  <c r="AX304" s="16"/>
      <c r="AY304" s="2"/>
      <c r="AZ304" s="2"/>
      <c r="BA304" s="16"/>
      <c r="BB304" s="16"/>
      <c r="BC304" s="16"/>
      <c r="BD304" s="16"/>
      <c r="BE304" s="16"/>
      <c r="BF304" s="16"/>
      <c r="BG304" s="16"/>
      <c r="BH304" s="16"/>
      <c r="BI304" s="16"/>
      <c r="BJ304" s="16"/>
      <c r="BK304" s="16"/>
      <c r="BL304" s="2"/>
      <c r="BM304" s="15"/>
      <c r="BN304" s="21"/>
      <c r="BO304" s="16"/>
      <c r="BP304" s="16"/>
      <c r="BQ304" s="16"/>
      <c r="BR304" s="16"/>
      <c r="BS304" s="16"/>
      <c r="BT304" s="16"/>
      <c r="BU304" s="8"/>
      <c r="BV304" s="8"/>
      <c r="BW304" s="8"/>
      <c r="BX304" s="8"/>
    </row>
    <row r="305" spans="1:76">
      <c r="A305" s="8" t="s">
        <v>19</v>
      </c>
      <c r="B305" s="8">
        <v>380</v>
      </c>
      <c r="C305" s="8" t="s">
        <v>19</v>
      </c>
      <c r="D305" s="8">
        <v>340</v>
      </c>
      <c r="E305" s="8" t="s">
        <v>20</v>
      </c>
      <c r="F305" s="8">
        <v>676</v>
      </c>
      <c r="G305" s="8" t="s">
        <v>21</v>
      </c>
      <c r="H305" s="8">
        <v>3750</v>
      </c>
      <c r="I305" s="8">
        <v>-4.67818777277154e-6</v>
      </c>
      <c r="J305" s="8">
        <v>-4.94434657094016e-6</v>
      </c>
      <c r="K305" s="8">
        <v>1.81544298757886</v>
      </c>
      <c r="L305" s="26"/>
      <c r="M305" s="10">
        <f t="shared" si="22"/>
        <v>637.12</v>
      </c>
      <c r="N305" s="18">
        <f t="shared" si="23"/>
        <v>257.12</v>
      </c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  <c r="AX305" s="16"/>
      <c r="AY305" s="2"/>
      <c r="AZ305" s="2"/>
      <c r="BA305" s="16"/>
      <c r="BB305" s="16"/>
      <c r="BC305" s="16"/>
      <c r="BD305" s="16"/>
      <c r="BE305" s="16"/>
      <c r="BF305" s="16"/>
      <c r="BG305" s="16"/>
      <c r="BH305" s="16"/>
      <c r="BI305" s="16"/>
      <c r="BJ305" s="16"/>
      <c r="BK305" s="16"/>
      <c r="BL305" s="2"/>
      <c r="BM305" s="15"/>
      <c r="BN305" s="21"/>
      <c r="BO305" s="16"/>
      <c r="BP305" s="16"/>
      <c r="BQ305" s="16"/>
      <c r="BR305" s="16"/>
      <c r="BS305" s="16"/>
      <c r="BT305" s="16"/>
      <c r="BU305" s="8"/>
      <c r="BV305" s="8"/>
      <c r="BW305" s="8"/>
      <c r="BX305" s="8"/>
    </row>
    <row r="306" spans="1:76">
      <c r="A306" s="8" t="s">
        <v>19</v>
      </c>
      <c r="B306" s="8">
        <v>380</v>
      </c>
      <c r="C306" s="8" t="s">
        <v>19</v>
      </c>
      <c r="D306" s="8">
        <v>340</v>
      </c>
      <c r="E306" s="8" t="s">
        <v>20</v>
      </c>
      <c r="F306" s="8">
        <v>729</v>
      </c>
      <c r="G306" s="8" t="s">
        <v>21</v>
      </c>
      <c r="H306" s="8">
        <v>4056</v>
      </c>
      <c r="I306" s="8">
        <v>-2.64168358160914e-6</v>
      </c>
      <c r="J306" s="8">
        <v>-2.80687475302193e-6</v>
      </c>
      <c r="K306" s="8">
        <v>1.69682085523942</v>
      </c>
      <c r="L306" s="26"/>
      <c r="M306" s="10">
        <f t="shared" si="22"/>
        <v>688.08</v>
      </c>
      <c r="N306" s="18">
        <f t="shared" si="23"/>
        <v>308.08</v>
      </c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  <c r="AX306" s="16"/>
      <c r="AY306" s="2"/>
      <c r="AZ306" s="2"/>
      <c r="BA306" s="16"/>
      <c r="BB306" s="16"/>
      <c r="BC306" s="16"/>
      <c r="BD306" s="16"/>
      <c r="BE306" s="16"/>
      <c r="BF306" s="16"/>
      <c r="BG306" s="16"/>
      <c r="BH306" s="16"/>
      <c r="BI306" s="16"/>
      <c r="BJ306" s="16"/>
      <c r="BK306" s="16"/>
      <c r="BL306" s="2"/>
      <c r="BM306" s="15"/>
      <c r="BN306" s="21"/>
      <c r="BO306" s="16"/>
      <c r="BP306" s="16"/>
      <c r="BQ306" s="16"/>
      <c r="BR306" s="16"/>
      <c r="BS306" s="16"/>
      <c r="BT306" s="16"/>
      <c r="BU306" s="8"/>
      <c r="BV306" s="8"/>
      <c r="BW306" s="8"/>
      <c r="BX306" s="8"/>
    </row>
    <row r="307" spans="1:76">
      <c r="A307" s="8" t="s">
        <v>19</v>
      </c>
      <c r="B307" s="8">
        <v>380</v>
      </c>
      <c r="C307" s="8" t="s">
        <v>19</v>
      </c>
      <c r="D307" s="8">
        <v>340</v>
      </c>
      <c r="E307" s="8" t="s">
        <v>20</v>
      </c>
      <c r="F307" s="8">
        <v>784</v>
      </c>
      <c r="G307" s="8" t="s">
        <v>21</v>
      </c>
      <c r="H307" s="8">
        <v>4374</v>
      </c>
      <c r="I307" s="8">
        <v>-2.45351749411303e-6</v>
      </c>
      <c r="J307" s="8">
        <v>-2.47333204286756e-6</v>
      </c>
      <c r="K307" s="8">
        <v>1.65488701579718</v>
      </c>
      <c r="L307" s="26"/>
      <c r="M307" s="10">
        <f t="shared" si="22"/>
        <v>744.855</v>
      </c>
      <c r="N307" s="18">
        <f t="shared" si="23"/>
        <v>364.855</v>
      </c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  <c r="AX307" s="16"/>
      <c r="AY307" s="2"/>
      <c r="AZ307" s="2"/>
      <c r="BA307" s="16"/>
      <c r="BB307" s="16"/>
      <c r="BC307" s="16"/>
      <c r="BD307" s="16"/>
      <c r="BE307" s="16"/>
      <c r="BF307" s="16"/>
      <c r="BG307" s="16"/>
      <c r="BH307" s="16"/>
      <c r="BI307" s="16"/>
      <c r="BJ307" s="16"/>
      <c r="BK307" s="16"/>
      <c r="BL307" s="2"/>
      <c r="BM307" s="15"/>
      <c r="BN307" s="21"/>
      <c r="BO307" s="16"/>
      <c r="BP307" s="16"/>
      <c r="BQ307" s="16"/>
      <c r="BR307" s="16"/>
      <c r="BS307" s="16"/>
      <c r="BT307" s="16"/>
      <c r="BU307" s="8"/>
      <c r="BV307" s="8"/>
      <c r="BW307" s="8"/>
      <c r="BX307" s="8"/>
    </row>
    <row r="308" spans="1:76">
      <c r="A308" s="8" t="s">
        <v>19</v>
      </c>
      <c r="B308" s="8">
        <v>380</v>
      </c>
      <c r="C308" s="8" t="s">
        <v>19</v>
      </c>
      <c r="D308" s="8">
        <v>340</v>
      </c>
      <c r="E308" s="8" t="s">
        <v>20</v>
      </c>
      <c r="F308" s="8">
        <v>841</v>
      </c>
      <c r="G308" s="8" t="s">
        <v>21</v>
      </c>
      <c r="H308" s="8">
        <v>4704</v>
      </c>
      <c r="I308" s="8">
        <v>-1.68866144409498e-6</v>
      </c>
      <c r="J308" s="8">
        <v>-1.86455405721512e-6</v>
      </c>
      <c r="K308" s="8">
        <v>1.61573995201869</v>
      </c>
      <c r="L308" s="26"/>
      <c r="M308" s="10">
        <f t="shared" si="22"/>
        <v>799.875</v>
      </c>
      <c r="N308" s="18">
        <f t="shared" si="23"/>
        <v>419.875</v>
      </c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  <c r="AX308" s="16"/>
      <c r="AY308" s="2"/>
      <c r="AZ308" s="2"/>
      <c r="BA308" s="16"/>
      <c r="BB308" s="16"/>
      <c r="BC308" s="16"/>
      <c r="BD308" s="16"/>
      <c r="BE308" s="16"/>
      <c r="BF308" s="16"/>
      <c r="BG308" s="16"/>
      <c r="BH308" s="16"/>
      <c r="BI308" s="16"/>
      <c r="BJ308" s="16"/>
      <c r="BK308" s="16"/>
      <c r="BL308" s="2"/>
      <c r="BM308" s="15"/>
      <c r="BN308" s="21"/>
      <c r="BO308" s="16"/>
      <c r="BP308" s="16"/>
      <c r="BQ308" s="16"/>
      <c r="BR308" s="16"/>
      <c r="BS308" s="16"/>
      <c r="BT308" s="16"/>
      <c r="BU308" s="8"/>
      <c r="BV308" s="8"/>
      <c r="BW308" s="8"/>
      <c r="BX308" s="8"/>
    </row>
    <row r="309" spans="1:76">
      <c r="A309" s="8" t="s">
        <v>19</v>
      </c>
      <c r="B309" s="8">
        <v>380</v>
      </c>
      <c r="C309" s="8" t="s">
        <v>19</v>
      </c>
      <c r="D309" s="8">
        <v>340</v>
      </c>
      <c r="E309" s="8" t="s">
        <v>20</v>
      </c>
      <c r="F309" s="8">
        <v>900</v>
      </c>
      <c r="G309" s="8" t="s">
        <v>21</v>
      </c>
      <c r="H309" s="8">
        <v>5046</v>
      </c>
      <c r="I309" s="8">
        <v>-1.26074697811907e-6</v>
      </c>
      <c r="J309" s="8">
        <v>-1.51325254266617e-6</v>
      </c>
      <c r="K309" s="8">
        <v>1.58215645712525</v>
      </c>
      <c r="L309" s="26"/>
      <c r="M309" s="10">
        <f t="shared" si="22"/>
        <v>856.855</v>
      </c>
      <c r="N309" s="18">
        <f t="shared" si="23"/>
        <v>476.855</v>
      </c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  <c r="AX309" s="16"/>
      <c r="AY309" s="2"/>
      <c r="AZ309" s="2"/>
      <c r="BA309" s="16"/>
      <c r="BB309" s="16"/>
      <c r="BC309" s="16"/>
      <c r="BD309" s="16"/>
      <c r="BE309" s="16"/>
      <c r="BF309" s="16"/>
      <c r="BG309" s="16"/>
      <c r="BH309" s="16"/>
      <c r="BI309" s="16"/>
      <c r="BJ309" s="16"/>
      <c r="BK309" s="16"/>
      <c r="BL309" s="2"/>
      <c r="BM309" s="15"/>
      <c r="BN309" s="21"/>
      <c r="BO309" s="16"/>
      <c r="BP309" s="16"/>
      <c r="BQ309" s="16"/>
      <c r="BR309" s="16"/>
      <c r="BS309" s="16"/>
      <c r="BT309" s="16"/>
      <c r="BU309" s="8"/>
      <c r="BV309" s="8"/>
      <c r="BW309" s="8"/>
      <c r="BX309" s="8"/>
    </row>
    <row r="310" spans="1:76">
      <c r="A310" s="8" t="s">
        <v>19</v>
      </c>
      <c r="B310" s="8">
        <v>380</v>
      </c>
      <c r="C310" s="8" t="s">
        <v>19</v>
      </c>
      <c r="D310" s="8">
        <v>340</v>
      </c>
      <c r="E310" s="8" t="s">
        <v>20</v>
      </c>
      <c r="F310" s="8">
        <v>961</v>
      </c>
      <c r="G310" s="8" t="s">
        <v>21</v>
      </c>
      <c r="H310" s="8">
        <v>5400</v>
      </c>
      <c r="I310" s="8">
        <v>-9.69344616703833e-7</v>
      </c>
      <c r="J310" s="8">
        <v>-1.15795722663526e-6</v>
      </c>
      <c r="K310" s="8">
        <v>1.52369623253094</v>
      </c>
      <c r="L310" s="26"/>
      <c r="M310" s="10">
        <f t="shared" si="22"/>
        <v>915.795</v>
      </c>
      <c r="N310" s="18">
        <f t="shared" si="23"/>
        <v>535.795</v>
      </c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  <c r="AX310" s="16"/>
      <c r="AY310" s="2"/>
      <c r="AZ310" s="2"/>
      <c r="BA310" s="16"/>
      <c r="BB310" s="16"/>
      <c r="BC310" s="16"/>
      <c r="BD310" s="16"/>
      <c r="BE310" s="16"/>
      <c r="BF310" s="16"/>
      <c r="BG310" s="16"/>
      <c r="BH310" s="16"/>
      <c r="BI310" s="16"/>
      <c r="BJ310" s="16"/>
      <c r="BK310" s="16"/>
      <c r="BL310" s="2"/>
      <c r="BM310" s="15"/>
      <c r="BN310" s="21"/>
      <c r="BO310" s="16"/>
      <c r="BP310" s="16"/>
      <c r="BQ310" s="16"/>
      <c r="BR310" s="16"/>
      <c r="BS310" s="16"/>
      <c r="BT310" s="16"/>
      <c r="BU310" s="8"/>
      <c r="BV310" s="8"/>
      <c r="BW310" s="8"/>
      <c r="BX310" s="8"/>
    </row>
    <row r="311" spans="1:76">
      <c r="A311" s="8" t="s">
        <v>19</v>
      </c>
      <c r="B311" s="8">
        <v>380</v>
      </c>
      <c r="C311" s="8" t="s">
        <v>19</v>
      </c>
      <c r="D311" s="8">
        <v>340</v>
      </c>
      <c r="E311" s="8" t="s">
        <v>20</v>
      </c>
      <c r="F311" s="8">
        <v>1024</v>
      </c>
      <c r="G311" s="8" t="s">
        <v>21</v>
      </c>
      <c r="H311" s="8">
        <v>5766</v>
      </c>
      <c r="I311" s="8">
        <v>-1.00142057431586e-6</v>
      </c>
      <c r="J311" s="8">
        <v>-1.03999591023319e-6</v>
      </c>
      <c r="K311" s="8">
        <v>1.46915070931171</v>
      </c>
      <c r="L311" s="26"/>
      <c r="M311" s="10">
        <f t="shared" si="22"/>
        <v>976.695</v>
      </c>
      <c r="N311" s="18">
        <f t="shared" si="23"/>
        <v>596.695</v>
      </c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  <c r="AX311" s="16"/>
      <c r="AY311" s="2"/>
      <c r="AZ311" s="2"/>
      <c r="BA311" s="16"/>
      <c r="BB311" s="16"/>
      <c r="BC311" s="16"/>
      <c r="BD311" s="16"/>
      <c r="BE311" s="16"/>
      <c r="BF311" s="16"/>
      <c r="BG311" s="16"/>
      <c r="BH311" s="16"/>
      <c r="BI311" s="16"/>
      <c r="BJ311" s="16"/>
      <c r="BK311" s="16"/>
      <c r="BL311" s="2"/>
      <c r="BM311" s="15"/>
      <c r="BN311" s="21"/>
      <c r="BO311" s="16"/>
      <c r="BP311" s="16"/>
      <c r="BQ311" s="16"/>
      <c r="BR311" s="16"/>
      <c r="BS311" s="16"/>
      <c r="BT311" s="16"/>
      <c r="BU311" s="8"/>
      <c r="BV311" s="8"/>
      <c r="BW311" s="8"/>
      <c r="BX311" s="8"/>
    </row>
    <row r="312" spans="1:76">
      <c r="A312" s="8" t="s">
        <v>19</v>
      </c>
      <c r="B312" s="8">
        <v>380</v>
      </c>
      <c r="C312" s="8" t="s">
        <v>19</v>
      </c>
      <c r="D312" s="8">
        <v>340</v>
      </c>
      <c r="E312" s="8" t="s">
        <v>20</v>
      </c>
      <c r="F312" s="8">
        <v>1089</v>
      </c>
      <c r="G312" s="8" t="s">
        <v>21</v>
      </c>
      <c r="H312" s="8">
        <v>6144</v>
      </c>
      <c r="I312" s="8">
        <v>-8.59427805280198e-7</v>
      </c>
      <c r="J312" s="8">
        <v>-8.43553322009766e-7</v>
      </c>
      <c r="K312" s="8">
        <v>1.40983191263479</v>
      </c>
      <c r="L312" s="26"/>
      <c r="M312" s="10">
        <f t="shared" si="22"/>
        <v>1039.555</v>
      </c>
      <c r="N312" s="18">
        <f t="shared" si="23"/>
        <v>659.555</v>
      </c>
      <c r="AN312" s="16"/>
      <c r="AO312" s="16"/>
      <c r="AP312" s="16"/>
      <c r="AQ312" s="16"/>
      <c r="AR312" s="16"/>
      <c r="AS312" s="16"/>
      <c r="AT312" s="16"/>
      <c r="AU312" s="16"/>
      <c r="AV312" s="16"/>
      <c r="AW312" s="16"/>
      <c r="AX312" s="16"/>
      <c r="AY312" s="2"/>
      <c r="AZ312" s="2"/>
      <c r="BA312" s="16"/>
      <c r="BB312" s="16"/>
      <c r="BC312" s="16"/>
      <c r="BD312" s="16"/>
      <c r="BE312" s="16"/>
      <c r="BF312" s="16"/>
      <c r="BG312" s="16"/>
      <c r="BH312" s="16"/>
      <c r="BI312" s="16"/>
      <c r="BJ312" s="16"/>
      <c r="BK312" s="16"/>
      <c r="BL312" s="2"/>
      <c r="BM312" s="15"/>
      <c r="BN312" s="21"/>
      <c r="BO312" s="16"/>
      <c r="BP312" s="16"/>
      <c r="BQ312" s="16"/>
      <c r="BR312" s="16"/>
      <c r="BS312" s="16"/>
      <c r="BT312" s="16"/>
      <c r="BU312" s="8"/>
      <c r="BV312" s="8"/>
      <c r="BW312" s="8"/>
      <c r="BX312" s="8"/>
    </row>
    <row r="313" ht="23.25" spans="1:76">
      <c r="A313" s="7" t="s">
        <v>33</v>
      </c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26"/>
      <c r="M313" s="10"/>
      <c r="N313" s="18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  <c r="AX313" s="16"/>
      <c r="AY313" s="2"/>
      <c r="AZ313" s="2"/>
      <c r="BA313" s="20"/>
      <c r="BB313" s="20"/>
      <c r="BC313" s="20"/>
      <c r="BD313" s="20"/>
      <c r="BE313" s="20"/>
      <c r="BF313" s="20"/>
      <c r="BG313" s="20"/>
      <c r="BH313" s="20"/>
      <c r="BI313" s="20"/>
      <c r="BJ313" s="20"/>
      <c r="BK313" s="20"/>
      <c r="BL313" s="2"/>
      <c r="BM313" s="15"/>
      <c r="BN313" s="21"/>
      <c r="BO313" s="16"/>
      <c r="BP313" s="16"/>
      <c r="BQ313" s="16"/>
      <c r="BR313" s="16"/>
      <c r="BS313" s="16"/>
      <c r="BT313" s="16"/>
      <c r="BU313" s="8"/>
      <c r="BV313" s="8"/>
      <c r="BW313" s="8"/>
      <c r="BX313" s="8"/>
    </row>
    <row r="314" ht="23.25" spans="1:76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26"/>
      <c r="M314" s="10"/>
      <c r="N314" s="18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  <c r="AX314" s="16"/>
      <c r="AY314" s="2"/>
      <c r="AZ314" s="2"/>
      <c r="BA314" s="20"/>
      <c r="BB314" s="20"/>
      <c r="BC314" s="20"/>
      <c r="BD314" s="20"/>
      <c r="BE314" s="20"/>
      <c r="BF314" s="20"/>
      <c r="BG314" s="20"/>
      <c r="BH314" s="20"/>
      <c r="BI314" s="20"/>
      <c r="BJ314" s="20"/>
      <c r="BK314" s="20"/>
      <c r="BL314" s="2"/>
      <c r="BM314" s="15"/>
      <c r="BN314" s="21"/>
      <c r="BO314" s="14"/>
      <c r="BP314" s="14"/>
      <c r="BQ314" s="14"/>
      <c r="BR314" s="14"/>
      <c r="BS314" s="14"/>
      <c r="BT314" s="14"/>
      <c r="BU314" s="24"/>
      <c r="BV314" s="24"/>
      <c r="BW314" s="24"/>
      <c r="BX314" s="24"/>
    </row>
    <row r="315" ht="23.25" spans="1:76">
      <c r="A315" s="8" t="s">
        <v>7</v>
      </c>
      <c r="B315" s="8" t="s">
        <v>8</v>
      </c>
      <c r="C315" s="8" t="s">
        <v>9</v>
      </c>
      <c r="D315" s="8" t="s">
        <v>10</v>
      </c>
      <c r="E315" s="8" t="s">
        <v>11</v>
      </c>
      <c r="F315" s="8" t="s">
        <v>12</v>
      </c>
      <c r="G315" s="8" t="s">
        <v>13</v>
      </c>
      <c r="H315" s="8" t="s">
        <v>14</v>
      </c>
      <c r="I315" s="8" t="s">
        <v>15</v>
      </c>
      <c r="J315" s="8" t="s">
        <v>16</v>
      </c>
      <c r="K315" s="8" t="s">
        <v>17</v>
      </c>
      <c r="L315" s="26"/>
      <c r="M315" s="10"/>
      <c r="N315" s="18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  <c r="AX315" s="16"/>
      <c r="AY315" s="2"/>
      <c r="AZ315" s="2"/>
      <c r="BA315" s="16"/>
      <c r="BB315" s="16"/>
      <c r="BC315" s="16"/>
      <c r="BD315" s="16"/>
      <c r="BE315" s="16"/>
      <c r="BF315" s="16"/>
      <c r="BG315" s="16"/>
      <c r="BH315" s="16"/>
      <c r="BI315" s="16"/>
      <c r="BJ315" s="16"/>
      <c r="BK315" s="16"/>
      <c r="BL315" s="2"/>
      <c r="BM315" s="15"/>
      <c r="BN315" s="21"/>
      <c r="BO315" s="14"/>
      <c r="BP315" s="14"/>
      <c r="BQ315" s="14"/>
      <c r="BR315" s="14"/>
      <c r="BS315" s="14"/>
      <c r="BT315" s="14"/>
      <c r="BU315" s="24"/>
      <c r="BV315" s="24"/>
      <c r="BW315" s="24"/>
      <c r="BX315" s="24"/>
    </row>
    <row r="316" spans="1:76">
      <c r="A316" s="8" t="s">
        <v>19</v>
      </c>
      <c r="B316" s="8">
        <v>435</v>
      </c>
      <c r="C316" s="8" t="s">
        <v>19</v>
      </c>
      <c r="D316" s="8">
        <v>340</v>
      </c>
      <c r="E316" s="8" t="s">
        <v>20</v>
      </c>
      <c r="F316" s="8">
        <v>361</v>
      </c>
      <c r="G316" s="8" t="s">
        <v>21</v>
      </c>
      <c r="H316" s="8">
        <v>1944</v>
      </c>
      <c r="I316" s="8">
        <v>-2.1921094791392</v>
      </c>
      <c r="J316" s="8">
        <v>-1.86813489414168</v>
      </c>
      <c r="K316" s="8">
        <v>-0.232296549494826</v>
      </c>
      <c r="L316" s="26"/>
      <c r="M316" s="10">
        <f t="shared" ref="M316:M330" si="24">(FLOOR(((SQRT(1+8*F316)-3))/2,0.1)*(FLOOR(((SQRT(1+8*F316)-3))/2,0.1)+1))/2</f>
        <v>332.695</v>
      </c>
      <c r="N316" s="18">
        <f t="shared" ref="N316:N330" si="25">ABS(B316-M316)</f>
        <v>102.305</v>
      </c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  <c r="AX316" s="16"/>
      <c r="AY316" s="2"/>
      <c r="AZ316" s="2"/>
      <c r="BA316" s="16"/>
      <c r="BB316" s="16"/>
      <c r="BC316" s="16"/>
      <c r="BD316" s="16"/>
      <c r="BE316" s="16"/>
      <c r="BF316" s="16"/>
      <c r="BG316" s="16"/>
      <c r="BH316" s="16"/>
      <c r="BI316" s="16"/>
      <c r="BJ316" s="16"/>
      <c r="BK316" s="16"/>
      <c r="BL316" s="2"/>
      <c r="BM316" s="15"/>
      <c r="BN316" s="21"/>
      <c r="BO316" s="15"/>
      <c r="BP316" s="15"/>
      <c r="BQ316" s="15"/>
      <c r="BR316" s="15"/>
      <c r="BS316" s="15"/>
      <c r="BT316" s="15"/>
      <c r="BU316" s="10"/>
      <c r="BV316" s="10"/>
      <c r="BW316" s="10"/>
      <c r="BX316" s="10"/>
    </row>
    <row r="317" spans="1:76">
      <c r="A317" s="8" t="s">
        <v>19</v>
      </c>
      <c r="B317" s="8">
        <v>435</v>
      </c>
      <c r="C317" s="8" t="s">
        <v>19</v>
      </c>
      <c r="D317" s="8">
        <v>340</v>
      </c>
      <c r="E317" s="8" t="s">
        <v>20</v>
      </c>
      <c r="F317" s="8">
        <v>400</v>
      </c>
      <c r="G317" s="8" t="s">
        <v>21</v>
      </c>
      <c r="H317" s="8">
        <v>2166</v>
      </c>
      <c r="I317" s="8">
        <v>-1.95779707400138</v>
      </c>
      <c r="J317" s="8">
        <v>-1.61009150131922</v>
      </c>
      <c r="K317" s="8">
        <v>0.329716713897049</v>
      </c>
      <c r="L317" s="26"/>
      <c r="M317" s="10">
        <f t="shared" si="24"/>
        <v>369.795</v>
      </c>
      <c r="N317" s="18">
        <f t="shared" si="25"/>
        <v>65.2049999999999</v>
      </c>
      <c r="AN317" s="16"/>
      <c r="AO317" s="16"/>
      <c r="AP317" s="16"/>
      <c r="AQ317" s="16"/>
      <c r="AR317" s="16"/>
      <c r="AS317" s="16"/>
      <c r="AT317" s="16"/>
      <c r="AU317" s="16"/>
      <c r="AV317" s="16"/>
      <c r="AW317" s="16"/>
      <c r="AX317" s="16"/>
      <c r="AY317" s="2"/>
      <c r="AZ317" s="2"/>
      <c r="BA317" s="16"/>
      <c r="BB317" s="16"/>
      <c r="BC317" s="16"/>
      <c r="BD317" s="16"/>
      <c r="BE317" s="16"/>
      <c r="BF317" s="16"/>
      <c r="BG317" s="16"/>
      <c r="BH317" s="16"/>
      <c r="BI317" s="16"/>
      <c r="BJ317" s="16"/>
      <c r="BK317" s="16"/>
      <c r="BL317" s="2"/>
      <c r="BM317" s="15"/>
      <c r="BN317" s="21"/>
      <c r="BO317" s="16"/>
      <c r="BP317" s="16"/>
      <c r="BQ317" s="16"/>
      <c r="BR317" s="16"/>
      <c r="BS317" s="16"/>
      <c r="BT317" s="16"/>
      <c r="BU317" s="8"/>
      <c r="BV317" s="8"/>
      <c r="BW317" s="8"/>
      <c r="BX317" s="8"/>
    </row>
    <row r="318" spans="1:76">
      <c r="A318" s="8" t="s">
        <v>19</v>
      </c>
      <c r="B318" s="8">
        <v>435</v>
      </c>
      <c r="C318" s="8" t="s">
        <v>19</v>
      </c>
      <c r="D318" s="8">
        <v>340</v>
      </c>
      <c r="E318" s="8" t="s">
        <v>20</v>
      </c>
      <c r="F318" s="8">
        <v>441</v>
      </c>
      <c r="G318" s="8" t="s">
        <v>21</v>
      </c>
      <c r="H318" s="8">
        <v>2400</v>
      </c>
      <c r="I318" s="8">
        <v>-1.30861060181893</v>
      </c>
      <c r="J318" s="8">
        <v>-1.12545968411407</v>
      </c>
      <c r="K318" s="8">
        <v>1.01551022948454</v>
      </c>
      <c r="L318" s="26"/>
      <c r="M318" s="10">
        <f t="shared" si="24"/>
        <v>411.72</v>
      </c>
      <c r="N318" s="18">
        <f t="shared" si="25"/>
        <v>23.2799999999999</v>
      </c>
      <c r="AN318" s="16"/>
      <c r="AO318" s="16"/>
      <c r="AP318" s="16"/>
      <c r="AQ318" s="16"/>
      <c r="AR318" s="16"/>
      <c r="AS318" s="16"/>
      <c r="AT318" s="16"/>
      <c r="AU318" s="16"/>
      <c r="AV318" s="16"/>
      <c r="AW318" s="16"/>
      <c r="AX318" s="16"/>
      <c r="AY318" s="2"/>
      <c r="AZ318" s="2"/>
      <c r="BA318" s="16"/>
      <c r="BB318" s="16"/>
      <c r="BC318" s="16"/>
      <c r="BD318" s="16"/>
      <c r="BE318" s="16"/>
      <c r="BF318" s="16"/>
      <c r="BG318" s="16"/>
      <c r="BH318" s="16"/>
      <c r="BI318" s="16"/>
      <c r="BJ318" s="16"/>
      <c r="BK318" s="16"/>
      <c r="BL318" s="2"/>
      <c r="BM318" s="15"/>
      <c r="BN318" s="21"/>
      <c r="BO318" s="16"/>
      <c r="BP318" s="16"/>
      <c r="BQ318" s="16"/>
      <c r="BR318" s="16"/>
      <c r="BS318" s="16"/>
      <c r="BT318" s="16"/>
      <c r="BU318" s="8"/>
      <c r="BV318" s="8"/>
      <c r="BW318" s="8"/>
      <c r="BX318" s="8"/>
    </row>
    <row r="319" spans="1:76">
      <c r="A319" s="9" t="s">
        <v>19</v>
      </c>
      <c r="B319" s="9">
        <v>435</v>
      </c>
      <c r="C319" s="9" t="s">
        <v>19</v>
      </c>
      <c r="D319" s="9">
        <v>340</v>
      </c>
      <c r="E319" s="9" t="s">
        <v>20</v>
      </c>
      <c r="F319" s="9">
        <v>484</v>
      </c>
      <c r="G319" s="9" t="s">
        <v>21</v>
      </c>
      <c r="H319" s="9">
        <v>2646</v>
      </c>
      <c r="I319" s="9">
        <v>-0.589047510808483</v>
      </c>
      <c r="J319" s="9">
        <v>-0.532062905637356</v>
      </c>
      <c r="K319" s="9">
        <v>1.77355986082029</v>
      </c>
      <c r="L319" s="27"/>
      <c r="M319" s="11">
        <f t="shared" si="24"/>
        <v>452.88</v>
      </c>
      <c r="N319" s="18">
        <f t="shared" si="25"/>
        <v>17.8800000000001</v>
      </c>
      <c r="AN319" s="16"/>
      <c r="AO319" s="16"/>
      <c r="AP319" s="16"/>
      <c r="AQ319" s="16"/>
      <c r="AR319" s="16"/>
      <c r="AS319" s="16"/>
      <c r="AT319" s="16"/>
      <c r="AU319" s="16"/>
      <c r="AV319" s="16"/>
      <c r="AW319" s="16"/>
      <c r="AX319" s="16"/>
      <c r="AY319" s="2"/>
      <c r="AZ319" s="2"/>
      <c r="BA319" s="21"/>
      <c r="BB319" s="21"/>
      <c r="BC319" s="21"/>
      <c r="BD319" s="21"/>
      <c r="BE319" s="21"/>
      <c r="BF319" s="21"/>
      <c r="BG319" s="21"/>
      <c r="BH319" s="21"/>
      <c r="BI319" s="21"/>
      <c r="BJ319" s="21"/>
      <c r="BK319" s="21"/>
      <c r="BL319" s="28"/>
      <c r="BM319" s="22"/>
      <c r="BN319" s="21"/>
      <c r="BO319" s="16"/>
      <c r="BP319" s="16"/>
      <c r="BQ319" s="16"/>
      <c r="BR319" s="16"/>
      <c r="BS319" s="16"/>
      <c r="BT319" s="16"/>
      <c r="BU319" s="8"/>
      <c r="BV319" s="8"/>
      <c r="BW319" s="8"/>
      <c r="BX319" s="8"/>
    </row>
    <row r="320" spans="1:76">
      <c r="A320" s="8" t="s">
        <v>19</v>
      </c>
      <c r="B320" s="8">
        <v>435</v>
      </c>
      <c r="C320" s="8" t="s">
        <v>19</v>
      </c>
      <c r="D320" s="8">
        <v>340</v>
      </c>
      <c r="E320" s="8" t="s">
        <v>20</v>
      </c>
      <c r="F320" s="8">
        <v>529</v>
      </c>
      <c r="G320" s="8" t="s">
        <v>21</v>
      </c>
      <c r="H320" s="8">
        <v>2904</v>
      </c>
      <c r="I320" s="8">
        <v>-0.110191819348743</v>
      </c>
      <c r="J320" s="8">
        <v>-0.0979054628412778</v>
      </c>
      <c r="K320" s="8">
        <v>2.6219916816074</v>
      </c>
      <c r="L320" s="26"/>
      <c r="M320" s="10">
        <f t="shared" si="24"/>
        <v>496</v>
      </c>
      <c r="N320" s="18">
        <f t="shared" si="25"/>
        <v>61</v>
      </c>
      <c r="AN320" s="16"/>
      <c r="AO320" s="16"/>
      <c r="AP320" s="16"/>
      <c r="AQ320" s="16"/>
      <c r="AR320" s="16"/>
      <c r="AS320" s="16"/>
      <c r="AT320" s="16"/>
      <c r="AU320" s="16"/>
      <c r="AV320" s="16"/>
      <c r="AW320" s="16"/>
      <c r="AX320" s="16"/>
      <c r="AY320" s="2"/>
      <c r="AZ320" s="2"/>
      <c r="BA320" s="16"/>
      <c r="BB320" s="16"/>
      <c r="BC320" s="16"/>
      <c r="BD320" s="16"/>
      <c r="BE320" s="16"/>
      <c r="BF320" s="16"/>
      <c r="BG320" s="16"/>
      <c r="BH320" s="16"/>
      <c r="BI320" s="16"/>
      <c r="BJ320" s="16"/>
      <c r="BK320" s="16"/>
      <c r="BL320" s="2"/>
      <c r="BM320" s="15"/>
      <c r="BN320" s="21"/>
      <c r="BO320" s="16"/>
      <c r="BP320" s="16"/>
      <c r="BQ320" s="16"/>
      <c r="BR320" s="16"/>
      <c r="BS320" s="16"/>
      <c r="BT320" s="16"/>
      <c r="BU320" s="8"/>
      <c r="BV320" s="8"/>
      <c r="BW320" s="8"/>
      <c r="BX320" s="8"/>
    </row>
    <row r="321" ht="23.25" spans="1:76">
      <c r="A321" s="8" t="s">
        <v>19</v>
      </c>
      <c r="B321" s="8">
        <v>435</v>
      </c>
      <c r="C321" s="8" t="s">
        <v>19</v>
      </c>
      <c r="D321" s="8">
        <v>340</v>
      </c>
      <c r="E321" s="8" t="s">
        <v>20</v>
      </c>
      <c r="F321" s="8">
        <v>576</v>
      </c>
      <c r="G321" s="8" t="s">
        <v>21</v>
      </c>
      <c r="H321" s="8">
        <v>3174</v>
      </c>
      <c r="I321" s="8">
        <v>-8.05150095521079e-5</v>
      </c>
      <c r="J321" s="8">
        <v>-0.000145699448736849</v>
      </c>
      <c r="K321" s="8">
        <v>2.63145165917315</v>
      </c>
      <c r="L321" s="26"/>
      <c r="M321" s="10">
        <f t="shared" si="24"/>
        <v>541.08</v>
      </c>
      <c r="N321" s="18">
        <f t="shared" si="25"/>
        <v>106.08</v>
      </c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  <c r="AY321" s="2"/>
      <c r="AZ321" s="2"/>
      <c r="BA321" s="16"/>
      <c r="BB321" s="16"/>
      <c r="BC321" s="16"/>
      <c r="BD321" s="16"/>
      <c r="BE321" s="16"/>
      <c r="BF321" s="16"/>
      <c r="BG321" s="16"/>
      <c r="BH321" s="16"/>
      <c r="BI321" s="16"/>
      <c r="BJ321" s="16"/>
      <c r="BK321" s="16"/>
      <c r="BL321" s="2"/>
      <c r="BM321" s="15"/>
      <c r="BN321" s="21"/>
      <c r="BO321" s="16"/>
      <c r="BP321" s="16"/>
      <c r="BQ321" s="16"/>
      <c r="BR321" s="16"/>
      <c r="BS321" s="16"/>
      <c r="BT321" s="16"/>
      <c r="BU321" s="8"/>
      <c r="BV321" s="8"/>
      <c r="BW321" s="8"/>
      <c r="BX321" s="8"/>
    </row>
    <row r="322" ht="23.25" spans="1:76">
      <c r="A322" s="8" t="s">
        <v>19</v>
      </c>
      <c r="B322" s="8">
        <v>435</v>
      </c>
      <c r="C322" s="8" t="s">
        <v>19</v>
      </c>
      <c r="D322" s="8">
        <v>340</v>
      </c>
      <c r="E322" s="8" t="s">
        <v>20</v>
      </c>
      <c r="F322" s="8">
        <v>625</v>
      </c>
      <c r="G322" s="8" t="s">
        <v>21</v>
      </c>
      <c r="H322" s="8">
        <v>3456</v>
      </c>
      <c r="I322" s="8">
        <v>-1.64606544736359e-5</v>
      </c>
      <c r="J322" s="8">
        <v>-2.45921329912565e-5</v>
      </c>
      <c r="K322" s="8">
        <v>2.23723237742227</v>
      </c>
      <c r="L322" s="26"/>
      <c r="M322" s="10">
        <f t="shared" si="24"/>
        <v>588.12</v>
      </c>
      <c r="N322" s="18">
        <f t="shared" si="25"/>
        <v>153.12</v>
      </c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X322" s="14"/>
      <c r="AY322" s="2"/>
      <c r="AZ322" s="2"/>
      <c r="BA322" s="16"/>
      <c r="BB322" s="16"/>
      <c r="BC322" s="16"/>
      <c r="BD322" s="16"/>
      <c r="BE322" s="16"/>
      <c r="BF322" s="16"/>
      <c r="BG322" s="16"/>
      <c r="BH322" s="16"/>
      <c r="BI322" s="16"/>
      <c r="BJ322" s="16"/>
      <c r="BK322" s="16"/>
      <c r="BL322" s="2"/>
      <c r="BM322" s="15"/>
      <c r="BN322" s="21"/>
      <c r="BO322" s="16"/>
      <c r="BP322" s="16"/>
      <c r="BQ322" s="16"/>
      <c r="BR322" s="16"/>
      <c r="BS322" s="16"/>
      <c r="BT322" s="16"/>
      <c r="BU322" s="8"/>
      <c r="BV322" s="8"/>
      <c r="BW322" s="8"/>
      <c r="BX322" s="8"/>
    </row>
    <row r="323" spans="1:76">
      <c r="A323" s="8" t="s">
        <v>19</v>
      </c>
      <c r="B323" s="8">
        <v>435</v>
      </c>
      <c r="C323" s="8" t="s">
        <v>19</v>
      </c>
      <c r="D323" s="8">
        <v>340</v>
      </c>
      <c r="E323" s="8" t="s">
        <v>20</v>
      </c>
      <c r="F323" s="8">
        <v>676</v>
      </c>
      <c r="G323" s="8" t="s">
        <v>21</v>
      </c>
      <c r="H323" s="8">
        <v>3750</v>
      </c>
      <c r="I323" s="8">
        <v>-1.01863757804057e-5</v>
      </c>
      <c r="J323" s="8">
        <v>-1.13015686877206e-5</v>
      </c>
      <c r="K323" s="8">
        <v>2.0229126288675</v>
      </c>
      <c r="L323" s="26"/>
      <c r="M323" s="10">
        <f t="shared" si="24"/>
        <v>637.12</v>
      </c>
      <c r="N323" s="18">
        <f t="shared" si="25"/>
        <v>202.12</v>
      </c>
      <c r="BA323" s="16"/>
      <c r="BB323" s="16"/>
      <c r="BC323" s="16"/>
      <c r="BD323" s="16"/>
      <c r="BE323" s="16"/>
      <c r="BF323" s="16"/>
      <c r="BG323" s="16"/>
      <c r="BH323" s="16"/>
      <c r="BI323" s="16"/>
      <c r="BJ323" s="16"/>
      <c r="BK323" s="16"/>
      <c r="BL323" s="2"/>
      <c r="BM323" s="15"/>
      <c r="BN323" s="21"/>
      <c r="BO323" s="16"/>
      <c r="BP323" s="16"/>
      <c r="BQ323" s="16"/>
      <c r="BR323" s="16"/>
      <c r="BS323" s="16"/>
      <c r="BT323" s="16"/>
      <c r="BU323" s="8"/>
      <c r="BV323" s="8"/>
      <c r="BW323" s="8"/>
      <c r="BX323" s="8"/>
    </row>
    <row r="324" spans="1:76">
      <c r="A324" s="8" t="s">
        <v>19</v>
      </c>
      <c r="B324" s="8">
        <v>435</v>
      </c>
      <c r="C324" s="8" t="s">
        <v>19</v>
      </c>
      <c r="D324" s="8">
        <v>340</v>
      </c>
      <c r="E324" s="8" t="s">
        <v>20</v>
      </c>
      <c r="F324" s="8">
        <v>729</v>
      </c>
      <c r="G324" s="8" t="s">
        <v>21</v>
      </c>
      <c r="H324" s="8">
        <v>4056</v>
      </c>
      <c r="I324" s="8">
        <v>-6.00326208042335e-6</v>
      </c>
      <c r="J324" s="8">
        <v>-6.72416020355965e-6</v>
      </c>
      <c r="K324" s="8">
        <v>1.90293348443373</v>
      </c>
      <c r="L324" s="26"/>
      <c r="M324" s="10">
        <f t="shared" si="24"/>
        <v>688.08</v>
      </c>
      <c r="N324" s="18">
        <f t="shared" si="25"/>
        <v>253.08</v>
      </c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  <c r="AX324" s="16"/>
      <c r="AY324" s="2"/>
      <c r="AZ324" s="2"/>
      <c r="BA324" s="16"/>
      <c r="BB324" s="16"/>
      <c r="BC324" s="16"/>
      <c r="BD324" s="16"/>
      <c r="BE324" s="16"/>
      <c r="BF324" s="16"/>
      <c r="BG324" s="16"/>
      <c r="BH324" s="16"/>
      <c r="BI324" s="16"/>
      <c r="BJ324" s="16"/>
      <c r="BK324" s="16"/>
      <c r="BL324" s="2"/>
      <c r="BM324" s="15"/>
      <c r="BN324" s="21"/>
      <c r="BO324" s="16"/>
      <c r="BP324" s="16"/>
      <c r="BQ324" s="16"/>
      <c r="BR324" s="16"/>
      <c r="BS324" s="16"/>
      <c r="BT324" s="16"/>
      <c r="BU324" s="8"/>
      <c r="BV324" s="8"/>
      <c r="BW324" s="8"/>
      <c r="BX324" s="8"/>
    </row>
    <row r="325" spans="1:76">
      <c r="A325" s="8" t="s">
        <v>19</v>
      </c>
      <c r="B325" s="8">
        <v>435</v>
      </c>
      <c r="C325" s="8" t="s">
        <v>19</v>
      </c>
      <c r="D325" s="8">
        <v>340</v>
      </c>
      <c r="E325" s="8" t="s">
        <v>20</v>
      </c>
      <c r="F325" s="8">
        <v>784</v>
      </c>
      <c r="G325" s="8" t="s">
        <v>21</v>
      </c>
      <c r="H325" s="8">
        <v>4374</v>
      </c>
      <c r="I325" s="8">
        <v>-4.21850528177136e-6</v>
      </c>
      <c r="J325" s="8">
        <v>-4.55781599295728e-6</v>
      </c>
      <c r="K325" s="8">
        <v>1.81070607890281</v>
      </c>
      <c r="L325" s="26"/>
      <c r="M325" s="10">
        <f t="shared" si="24"/>
        <v>744.855</v>
      </c>
      <c r="N325" s="18">
        <f t="shared" si="25"/>
        <v>309.855</v>
      </c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  <c r="AX325" s="16"/>
      <c r="AY325" s="2"/>
      <c r="AZ325" s="2"/>
      <c r="BA325" s="16"/>
      <c r="BB325" s="16"/>
      <c r="BC325" s="16"/>
      <c r="BD325" s="16"/>
      <c r="BE325" s="16"/>
      <c r="BF325" s="16"/>
      <c r="BG325" s="16"/>
      <c r="BH325" s="16"/>
      <c r="BI325" s="16"/>
      <c r="BJ325" s="16"/>
      <c r="BK325" s="16"/>
      <c r="BL325" s="2"/>
      <c r="BM325" s="15"/>
      <c r="BN325" s="21"/>
      <c r="BO325" s="16"/>
      <c r="BP325" s="16"/>
      <c r="BQ325" s="16"/>
      <c r="BR325" s="16"/>
      <c r="BS325" s="16"/>
      <c r="BT325" s="16"/>
      <c r="BU325" s="8"/>
      <c r="BV325" s="8"/>
      <c r="BW325" s="8"/>
      <c r="BX325" s="8"/>
    </row>
    <row r="326" spans="1:76">
      <c r="A326" s="8" t="s">
        <v>19</v>
      </c>
      <c r="B326" s="8">
        <v>435</v>
      </c>
      <c r="C326" s="8" t="s">
        <v>19</v>
      </c>
      <c r="D326" s="8">
        <v>340</v>
      </c>
      <c r="E326" s="8" t="s">
        <v>20</v>
      </c>
      <c r="F326" s="8">
        <v>841</v>
      </c>
      <c r="G326" s="8" t="s">
        <v>21</v>
      </c>
      <c r="H326" s="8">
        <v>4704</v>
      </c>
      <c r="I326" s="8">
        <v>-3.24128673229481e-6</v>
      </c>
      <c r="J326" s="8">
        <v>-3.52449677824812e-6</v>
      </c>
      <c r="K326" s="8">
        <v>1.75772445935554</v>
      </c>
      <c r="L326" s="26"/>
      <c r="M326" s="10">
        <f t="shared" si="24"/>
        <v>799.875</v>
      </c>
      <c r="N326" s="18">
        <f t="shared" si="25"/>
        <v>364.875</v>
      </c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  <c r="AX326" s="16"/>
      <c r="AY326" s="2"/>
      <c r="AZ326" s="2"/>
      <c r="BA326" s="16"/>
      <c r="BB326" s="16"/>
      <c r="BC326" s="16"/>
      <c r="BD326" s="16"/>
      <c r="BE326" s="16"/>
      <c r="BF326" s="16"/>
      <c r="BG326" s="16"/>
      <c r="BH326" s="16"/>
      <c r="BI326" s="16"/>
      <c r="BJ326" s="16"/>
      <c r="BK326" s="16"/>
      <c r="BL326" s="2"/>
      <c r="BM326" s="15"/>
      <c r="BN326" s="21"/>
      <c r="BO326" s="16"/>
      <c r="BP326" s="16"/>
      <c r="BQ326" s="16"/>
      <c r="BR326" s="16"/>
      <c r="BS326" s="16"/>
      <c r="BT326" s="16"/>
      <c r="BU326" s="8"/>
      <c r="BV326" s="8"/>
      <c r="BW326" s="8"/>
      <c r="BX326" s="8"/>
    </row>
    <row r="327" spans="1:76">
      <c r="A327" s="8" t="s">
        <v>19</v>
      </c>
      <c r="B327" s="8">
        <v>435</v>
      </c>
      <c r="C327" s="8" t="s">
        <v>19</v>
      </c>
      <c r="D327" s="8">
        <v>340</v>
      </c>
      <c r="E327" s="8" t="s">
        <v>20</v>
      </c>
      <c r="F327" s="8">
        <v>900</v>
      </c>
      <c r="G327" s="8" t="s">
        <v>21</v>
      </c>
      <c r="H327" s="8">
        <v>5046</v>
      </c>
      <c r="I327" s="8">
        <v>-2.59768546416766e-6</v>
      </c>
      <c r="J327" s="8">
        <v>-2.67003169673061e-6</v>
      </c>
      <c r="K327" s="8">
        <v>1.68371870718673</v>
      </c>
      <c r="L327" s="26"/>
      <c r="M327" s="10">
        <f t="shared" si="24"/>
        <v>856.855</v>
      </c>
      <c r="N327" s="18">
        <f t="shared" si="25"/>
        <v>421.855</v>
      </c>
      <c r="AN327" s="16"/>
      <c r="AO327" s="16"/>
      <c r="AP327" s="16"/>
      <c r="AQ327" s="16"/>
      <c r="AR327" s="16"/>
      <c r="AS327" s="16"/>
      <c r="AT327" s="16"/>
      <c r="AU327" s="16"/>
      <c r="AV327" s="16"/>
      <c r="AW327" s="16"/>
      <c r="AX327" s="16"/>
      <c r="AY327" s="2"/>
      <c r="AZ327" s="2"/>
      <c r="BA327" s="16"/>
      <c r="BB327" s="16"/>
      <c r="BC327" s="16"/>
      <c r="BD327" s="16"/>
      <c r="BE327" s="16"/>
      <c r="BF327" s="16"/>
      <c r="BG327" s="16"/>
      <c r="BH327" s="16"/>
      <c r="BI327" s="16"/>
      <c r="BJ327" s="16"/>
      <c r="BK327" s="16"/>
      <c r="BL327" s="2"/>
      <c r="BM327" s="15"/>
      <c r="BN327" s="21"/>
      <c r="BO327" s="16"/>
      <c r="BP327" s="16"/>
      <c r="BQ327" s="16"/>
      <c r="BR327" s="16"/>
      <c r="BS327" s="16"/>
      <c r="BT327" s="16"/>
      <c r="BU327" s="8"/>
      <c r="BV327" s="8"/>
      <c r="BW327" s="8"/>
      <c r="BX327" s="8"/>
    </row>
    <row r="328" spans="1:76">
      <c r="A328" s="8" t="s">
        <v>19</v>
      </c>
      <c r="B328" s="8">
        <v>435</v>
      </c>
      <c r="C328" s="8" t="s">
        <v>19</v>
      </c>
      <c r="D328" s="8">
        <v>340</v>
      </c>
      <c r="E328" s="8" t="s">
        <v>20</v>
      </c>
      <c r="F328" s="8">
        <v>961</v>
      </c>
      <c r="G328" s="8" t="s">
        <v>21</v>
      </c>
      <c r="H328" s="8">
        <v>5400</v>
      </c>
      <c r="I328" s="8">
        <v>-1.96723978817645e-6</v>
      </c>
      <c r="J328" s="8">
        <v>-2.19236205507998e-6</v>
      </c>
      <c r="K328" s="8">
        <v>1.65627864786376</v>
      </c>
      <c r="L328" s="26"/>
      <c r="M328" s="10">
        <f t="shared" si="24"/>
        <v>915.795</v>
      </c>
      <c r="N328" s="18">
        <f t="shared" si="25"/>
        <v>480.795</v>
      </c>
      <c r="AN328" s="16"/>
      <c r="AO328" s="16"/>
      <c r="AP328" s="16"/>
      <c r="AQ328" s="16"/>
      <c r="AR328" s="16"/>
      <c r="AS328" s="16"/>
      <c r="AT328" s="16"/>
      <c r="AU328" s="16"/>
      <c r="AV328" s="16"/>
      <c r="AW328" s="16"/>
      <c r="AX328" s="16"/>
      <c r="AY328" s="2"/>
      <c r="AZ328" s="2"/>
      <c r="BA328" s="16"/>
      <c r="BB328" s="16"/>
      <c r="BC328" s="16"/>
      <c r="BD328" s="16"/>
      <c r="BE328" s="16"/>
      <c r="BF328" s="16"/>
      <c r="BG328" s="16"/>
      <c r="BH328" s="16"/>
      <c r="BI328" s="16"/>
      <c r="BJ328" s="16"/>
      <c r="BK328" s="16"/>
      <c r="BL328" s="2"/>
      <c r="BM328" s="15"/>
      <c r="BN328" s="21"/>
      <c r="BO328" s="16"/>
      <c r="BP328" s="16"/>
      <c r="BQ328" s="16"/>
      <c r="BR328" s="16"/>
      <c r="BS328" s="16"/>
      <c r="BT328" s="16"/>
      <c r="BU328" s="8"/>
      <c r="BV328" s="8"/>
      <c r="BW328" s="8"/>
      <c r="BX328" s="8"/>
    </row>
    <row r="329" spans="1:76">
      <c r="A329" s="8" t="s">
        <v>19</v>
      </c>
      <c r="B329" s="8">
        <v>435</v>
      </c>
      <c r="C329" s="8" t="s">
        <v>19</v>
      </c>
      <c r="D329" s="8">
        <v>340</v>
      </c>
      <c r="E329" s="8" t="s">
        <v>20</v>
      </c>
      <c r="F329" s="8">
        <v>1024</v>
      </c>
      <c r="G329" s="8" t="s">
        <v>21</v>
      </c>
      <c r="H329" s="8">
        <v>5766</v>
      </c>
      <c r="I329" s="8">
        <v>-1.25133565272852e-6</v>
      </c>
      <c r="J329" s="8">
        <v>-1.50544741050256e-6</v>
      </c>
      <c r="K329" s="8">
        <v>1.59203572757061</v>
      </c>
      <c r="L329" s="26"/>
      <c r="M329" s="10">
        <f t="shared" si="24"/>
        <v>976.695</v>
      </c>
      <c r="N329" s="18">
        <f t="shared" si="25"/>
        <v>541.695</v>
      </c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  <c r="AX329" s="16"/>
      <c r="AY329" s="2"/>
      <c r="AZ329" s="2"/>
      <c r="BA329" s="16"/>
      <c r="BB329" s="16"/>
      <c r="BC329" s="16"/>
      <c r="BD329" s="16"/>
      <c r="BE329" s="16"/>
      <c r="BF329" s="16"/>
      <c r="BG329" s="16"/>
      <c r="BH329" s="16"/>
      <c r="BI329" s="16"/>
      <c r="BJ329" s="16"/>
      <c r="BK329" s="16"/>
      <c r="BL329" s="2"/>
      <c r="BM329" s="15"/>
      <c r="BN329" s="21"/>
      <c r="BO329" s="16"/>
      <c r="BP329" s="16"/>
      <c r="BQ329" s="16"/>
      <c r="BR329" s="16"/>
      <c r="BS329" s="16"/>
      <c r="BT329" s="16"/>
      <c r="BU329" s="8"/>
      <c r="BV329" s="8"/>
      <c r="BW329" s="8"/>
      <c r="BX329" s="8"/>
    </row>
    <row r="330" spans="1:76">
      <c r="A330" s="8" t="s">
        <v>19</v>
      </c>
      <c r="B330" s="8">
        <v>435</v>
      </c>
      <c r="C330" s="8" t="s">
        <v>19</v>
      </c>
      <c r="D330" s="8">
        <v>340</v>
      </c>
      <c r="E330" s="8" t="s">
        <v>20</v>
      </c>
      <c r="F330" s="8">
        <v>1089</v>
      </c>
      <c r="G330" s="8" t="s">
        <v>21</v>
      </c>
      <c r="H330" s="8">
        <v>6144</v>
      </c>
      <c r="I330" s="8">
        <v>-1.46051359074398e-6</v>
      </c>
      <c r="J330" s="8">
        <v>-1.6009843390037e-6</v>
      </c>
      <c r="K330" s="8">
        <v>1.58539001049242</v>
      </c>
      <c r="L330" s="26"/>
      <c r="M330" s="10">
        <f t="shared" si="24"/>
        <v>1039.555</v>
      </c>
      <c r="N330" s="18">
        <f t="shared" si="25"/>
        <v>604.555</v>
      </c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  <c r="AX330" s="16"/>
      <c r="AY330" s="2"/>
      <c r="AZ330" s="2"/>
      <c r="BA330" s="16"/>
      <c r="BB330" s="16"/>
      <c r="BC330" s="16"/>
      <c r="BD330" s="16"/>
      <c r="BE330" s="16"/>
      <c r="BF330" s="16"/>
      <c r="BG330" s="16"/>
      <c r="BH330" s="16"/>
      <c r="BI330" s="16"/>
      <c r="BJ330" s="16"/>
      <c r="BK330" s="16"/>
      <c r="BL330" s="2"/>
      <c r="BM330" s="15"/>
      <c r="BN330" s="21"/>
      <c r="BO330" s="16"/>
      <c r="BP330" s="16"/>
      <c r="BQ330" s="16"/>
      <c r="BR330" s="16"/>
      <c r="BS330" s="16"/>
      <c r="BT330" s="16"/>
      <c r="BU330" s="8"/>
      <c r="BV330" s="8"/>
      <c r="BW330" s="8"/>
      <c r="BX330" s="8"/>
    </row>
    <row r="331" ht="23.25" spans="1:76">
      <c r="A331" s="7" t="s">
        <v>34</v>
      </c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26"/>
      <c r="M331" s="10"/>
      <c r="N331" s="18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  <c r="AX331" s="16"/>
      <c r="AY331" s="2"/>
      <c r="AZ331" s="2"/>
      <c r="BA331" s="20"/>
      <c r="BB331" s="20"/>
      <c r="BC331" s="20"/>
      <c r="BD331" s="20"/>
      <c r="BE331" s="20"/>
      <c r="BF331" s="20"/>
      <c r="BG331" s="20"/>
      <c r="BH331" s="20"/>
      <c r="BI331" s="20"/>
      <c r="BJ331" s="20"/>
      <c r="BK331" s="20"/>
      <c r="BL331" s="2"/>
      <c r="BM331" s="15"/>
      <c r="BN331" s="21"/>
      <c r="BO331" s="16"/>
      <c r="BP331" s="16"/>
      <c r="BQ331" s="16"/>
      <c r="BR331" s="16"/>
      <c r="BS331" s="16"/>
      <c r="BT331" s="16"/>
      <c r="BU331" s="8"/>
      <c r="BV331" s="8"/>
      <c r="BW331" s="8"/>
      <c r="BX331" s="8"/>
    </row>
    <row r="332" ht="23.25" spans="1:76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26"/>
      <c r="M332" s="10"/>
      <c r="N332" s="18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  <c r="AX332" s="16"/>
      <c r="AY332" s="2"/>
      <c r="AZ332" s="2"/>
      <c r="BA332" s="20"/>
      <c r="BB332" s="20"/>
      <c r="BC332" s="20"/>
      <c r="BD332" s="20"/>
      <c r="BE332" s="20"/>
      <c r="BF332" s="20"/>
      <c r="BG332" s="20"/>
      <c r="BH332" s="20"/>
      <c r="BI332" s="20"/>
      <c r="BJ332" s="20"/>
      <c r="BK332" s="20"/>
      <c r="BL332" s="2"/>
      <c r="BM332" s="15"/>
      <c r="BN332" s="21"/>
      <c r="BO332" s="14"/>
      <c r="BP332" s="14"/>
      <c r="BQ332" s="14"/>
      <c r="BR332" s="14"/>
      <c r="BS332" s="14"/>
      <c r="BT332" s="14"/>
      <c r="BU332" s="24"/>
      <c r="BV332" s="24"/>
      <c r="BW332" s="24"/>
      <c r="BX332" s="24"/>
    </row>
    <row r="333" ht="23.25" spans="1:76">
      <c r="A333" s="8" t="s">
        <v>7</v>
      </c>
      <c r="B333" s="8" t="s">
        <v>8</v>
      </c>
      <c r="C333" s="8" t="s">
        <v>9</v>
      </c>
      <c r="D333" s="8" t="s">
        <v>10</v>
      </c>
      <c r="E333" s="8" t="s">
        <v>11</v>
      </c>
      <c r="F333" s="8" t="s">
        <v>12</v>
      </c>
      <c r="G333" s="8" t="s">
        <v>13</v>
      </c>
      <c r="H333" s="8" t="s">
        <v>14</v>
      </c>
      <c r="I333" s="8" t="s">
        <v>15</v>
      </c>
      <c r="J333" s="8" t="s">
        <v>16</v>
      </c>
      <c r="K333" s="8" t="s">
        <v>17</v>
      </c>
      <c r="L333" s="26"/>
      <c r="M333" s="10"/>
      <c r="N333" s="18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  <c r="AX333" s="16"/>
      <c r="AY333" s="2"/>
      <c r="AZ333" s="2"/>
      <c r="BA333" s="16"/>
      <c r="BB333" s="16"/>
      <c r="BC333" s="16"/>
      <c r="BD333" s="16"/>
      <c r="BE333" s="16"/>
      <c r="BF333" s="16"/>
      <c r="BG333" s="16"/>
      <c r="BH333" s="16"/>
      <c r="BI333" s="16"/>
      <c r="BJ333" s="16"/>
      <c r="BK333" s="16"/>
      <c r="BL333" s="2"/>
      <c r="BM333" s="15"/>
      <c r="BN333" s="21"/>
      <c r="BO333" s="14"/>
      <c r="BP333" s="14"/>
      <c r="BQ333" s="14"/>
      <c r="BR333" s="14"/>
      <c r="BS333" s="14"/>
      <c r="BT333" s="14"/>
      <c r="BU333" s="24"/>
      <c r="BV333" s="24"/>
      <c r="BW333" s="24"/>
      <c r="BX333" s="24"/>
    </row>
    <row r="334" spans="1:76">
      <c r="A334" s="8" t="s">
        <v>19</v>
      </c>
      <c r="B334" s="8">
        <v>485</v>
      </c>
      <c r="C334" s="8" t="s">
        <v>19</v>
      </c>
      <c r="D334" s="8">
        <v>340</v>
      </c>
      <c r="E334" s="8" t="s">
        <v>20</v>
      </c>
      <c r="F334" s="8">
        <v>400</v>
      </c>
      <c r="G334" s="8" t="s">
        <v>21</v>
      </c>
      <c r="H334" s="8">
        <v>2166</v>
      </c>
      <c r="I334" s="8">
        <v>-2.03439593145038</v>
      </c>
      <c r="J334" s="8">
        <v>-1.76035574005364</v>
      </c>
      <c r="K334" s="8">
        <v>0.152044617318805</v>
      </c>
      <c r="L334" s="26"/>
      <c r="M334" s="10">
        <f t="shared" ref="M334:M347" si="26">(FLOOR(((SQRT(1+8*F334)-3))/2,0.1)*(FLOOR(((SQRT(1+8*F334)-3))/2,0.1)+1))/2</f>
        <v>369.795</v>
      </c>
      <c r="N334" s="18">
        <f t="shared" ref="N334:N347" si="27">ABS(B334-M334)</f>
        <v>115.205</v>
      </c>
      <c r="AN334" s="16"/>
      <c r="AO334" s="16"/>
      <c r="AP334" s="16"/>
      <c r="AQ334" s="16"/>
      <c r="AR334" s="16"/>
      <c r="AS334" s="16"/>
      <c r="AT334" s="16"/>
      <c r="AU334" s="16"/>
      <c r="AV334" s="16"/>
      <c r="AW334" s="16"/>
      <c r="AX334" s="16"/>
      <c r="AY334" s="2"/>
      <c r="AZ334" s="2"/>
      <c r="BA334" s="16"/>
      <c r="BB334" s="16"/>
      <c r="BC334" s="16"/>
      <c r="BD334" s="16"/>
      <c r="BE334" s="16"/>
      <c r="BF334" s="16"/>
      <c r="BG334" s="16"/>
      <c r="BH334" s="16"/>
      <c r="BI334" s="16"/>
      <c r="BJ334" s="16"/>
      <c r="BK334" s="16"/>
      <c r="BL334" s="2"/>
      <c r="BM334" s="15"/>
      <c r="BN334" s="21"/>
      <c r="BO334" s="15"/>
      <c r="BP334" s="15"/>
      <c r="BQ334" s="15"/>
      <c r="BR334" s="15"/>
      <c r="BS334" s="15"/>
      <c r="BT334" s="15"/>
      <c r="BU334" s="10"/>
      <c r="BV334" s="10"/>
      <c r="BW334" s="10"/>
      <c r="BX334" s="10"/>
    </row>
    <row r="335" spans="1:76">
      <c r="A335" s="8" t="s">
        <v>19</v>
      </c>
      <c r="B335" s="8">
        <v>485</v>
      </c>
      <c r="C335" s="8" t="s">
        <v>19</v>
      </c>
      <c r="D335" s="8">
        <v>340</v>
      </c>
      <c r="E335" s="8" t="s">
        <v>20</v>
      </c>
      <c r="F335" s="8">
        <v>441</v>
      </c>
      <c r="G335" s="8" t="s">
        <v>21</v>
      </c>
      <c r="H335" s="8">
        <v>2400</v>
      </c>
      <c r="I335" s="8">
        <v>-1.66607266600773</v>
      </c>
      <c r="J335" s="8">
        <v>-1.41994475432948</v>
      </c>
      <c r="K335" s="8">
        <v>0.510412561492901</v>
      </c>
      <c r="L335" s="26"/>
      <c r="M335" s="10">
        <f t="shared" si="26"/>
        <v>411.72</v>
      </c>
      <c r="N335" s="18">
        <f t="shared" si="27"/>
        <v>73.2799999999999</v>
      </c>
      <c r="AN335" s="16"/>
      <c r="AO335" s="16"/>
      <c r="AP335" s="16"/>
      <c r="AQ335" s="16"/>
      <c r="AR335" s="16"/>
      <c r="AS335" s="16"/>
      <c r="AT335" s="16"/>
      <c r="AU335" s="16"/>
      <c r="AV335" s="16"/>
      <c r="AW335" s="16"/>
      <c r="AX335" s="16"/>
      <c r="AY335" s="2"/>
      <c r="AZ335" s="2"/>
      <c r="BA335" s="16"/>
      <c r="BB335" s="16"/>
      <c r="BC335" s="16"/>
      <c r="BD335" s="16"/>
      <c r="BE335" s="16"/>
      <c r="BF335" s="16"/>
      <c r="BG335" s="16"/>
      <c r="BH335" s="16"/>
      <c r="BI335" s="16"/>
      <c r="BJ335" s="16"/>
      <c r="BK335" s="16"/>
      <c r="BL335" s="2"/>
      <c r="BM335" s="15"/>
      <c r="BN335" s="21"/>
      <c r="BO335" s="16"/>
      <c r="BP335" s="16"/>
      <c r="BQ335" s="16"/>
      <c r="BR335" s="16"/>
      <c r="BS335" s="16"/>
      <c r="BT335" s="16"/>
      <c r="BU335" s="8"/>
      <c r="BV335" s="8"/>
      <c r="BW335" s="8"/>
      <c r="BX335" s="8"/>
    </row>
    <row r="336" spans="1:76">
      <c r="A336" s="8" t="s">
        <v>19</v>
      </c>
      <c r="B336" s="8">
        <v>485</v>
      </c>
      <c r="C336" s="8" t="s">
        <v>19</v>
      </c>
      <c r="D336" s="8">
        <v>340</v>
      </c>
      <c r="E336" s="8" t="s">
        <v>20</v>
      </c>
      <c r="F336" s="8">
        <v>484</v>
      </c>
      <c r="G336" s="8" t="s">
        <v>21</v>
      </c>
      <c r="H336" s="8">
        <v>2646</v>
      </c>
      <c r="I336" s="8">
        <v>-1.08524646553638</v>
      </c>
      <c r="J336" s="8">
        <v>-0.96498739174492</v>
      </c>
      <c r="K336" s="8">
        <v>1.26712938780026</v>
      </c>
      <c r="L336" s="26"/>
      <c r="M336" s="10">
        <f t="shared" si="26"/>
        <v>452.88</v>
      </c>
      <c r="N336" s="18">
        <f t="shared" si="27"/>
        <v>32.1199999999999</v>
      </c>
      <c r="AN336" s="16"/>
      <c r="AO336" s="16"/>
      <c r="AP336" s="16"/>
      <c r="AQ336" s="16"/>
      <c r="AR336" s="16"/>
      <c r="AS336" s="16"/>
      <c r="AT336" s="16"/>
      <c r="AU336" s="16"/>
      <c r="AV336" s="16"/>
      <c r="AW336" s="16"/>
      <c r="AX336" s="16"/>
      <c r="AY336" s="2"/>
      <c r="AZ336" s="2"/>
      <c r="BA336" s="16"/>
      <c r="BB336" s="16"/>
      <c r="BC336" s="16"/>
      <c r="BD336" s="16"/>
      <c r="BE336" s="16"/>
      <c r="BF336" s="16"/>
      <c r="BG336" s="16"/>
      <c r="BH336" s="16"/>
      <c r="BI336" s="16"/>
      <c r="BJ336" s="16"/>
      <c r="BK336" s="16"/>
      <c r="BL336" s="2"/>
      <c r="BM336" s="15"/>
      <c r="BN336" s="21"/>
      <c r="BO336" s="16"/>
      <c r="BP336" s="16"/>
      <c r="BQ336" s="16"/>
      <c r="BR336" s="16"/>
      <c r="BS336" s="16"/>
      <c r="BT336" s="16"/>
      <c r="BU336" s="8"/>
      <c r="BV336" s="8"/>
      <c r="BW336" s="8"/>
      <c r="BX336" s="8"/>
    </row>
    <row r="337" spans="1:76">
      <c r="A337" s="9" t="s">
        <v>19</v>
      </c>
      <c r="B337" s="9">
        <v>485</v>
      </c>
      <c r="C337" s="9" t="s">
        <v>19</v>
      </c>
      <c r="D337" s="9">
        <v>340</v>
      </c>
      <c r="E337" s="9" t="s">
        <v>20</v>
      </c>
      <c r="F337" s="9">
        <v>529</v>
      </c>
      <c r="G337" s="9" t="s">
        <v>21</v>
      </c>
      <c r="H337" s="9">
        <v>2904</v>
      </c>
      <c r="I337" s="9">
        <v>-0.379679856848861</v>
      </c>
      <c r="J337" s="9">
        <v>-0.341026633823966</v>
      </c>
      <c r="K337" s="9">
        <v>2.15636038139003</v>
      </c>
      <c r="L337" s="27"/>
      <c r="M337" s="11">
        <f t="shared" si="26"/>
        <v>496</v>
      </c>
      <c r="N337" s="18">
        <f t="shared" si="27"/>
        <v>11</v>
      </c>
      <c r="AN337" s="16"/>
      <c r="AO337" s="16"/>
      <c r="AP337" s="16"/>
      <c r="AQ337" s="16"/>
      <c r="AR337" s="16"/>
      <c r="AS337" s="16"/>
      <c r="AT337" s="16"/>
      <c r="AU337" s="16"/>
      <c r="AV337" s="16"/>
      <c r="AW337" s="16"/>
      <c r="AX337" s="16"/>
      <c r="AY337" s="2"/>
      <c r="AZ337" s="2"/>
      <c r="BA337" s="21"/>
      <c r="BB337" s="21"/>
      <c r="BC337" s="21"/>
      <c r="BD337" s="21"/>
      <c r="BE337" s="21"/>
      <c r="BF337" s="21"/>
      <c r="BG337" s="21"/>
      <c r="BH337" s="21"/>
      <c r="BI337" s="21"/>
      <c r="BJ337" s="21"/>
      <c r="BK337" s="21"/>
      <c r="BL337" s="28"/>
      <c r="BM337" s="22"/>
      <c r="BN337" s="21"/>
      <c r="BO337" s="16"/>
      <c r="BP337" s="16"/>
      <c r="BQ337" s="16"/>
      <c r="BR337" s="16"/>
      <c r="BS337" s="16"/>
      <c r="BT337" s="16"/>
      <c r="BU337" s="8"/>
      <c r="BV337" s="8"/>
      <c r="BW337" s="8"/>
      <c r="BX337" s="8"/>
    </row>
    <row r="338" spans="1:76">
      <c r="A338" s="8" t="s">
        <v>19</v>
      </c>
      <c r="B338" s="8">
        <v>485</v>
      </c>
      <c r="C338" s="8" t="s">
        <v>19</v>
      </c>
      <c r="D338" s="8">
        <v>340</v>
      </c>
      <c r="E338" s="8" t="s">
        <v>20</v>
      </c>
      <c r="F338" s="8">
        <v>576</v>
      </c>
      <c r="G338" s="8" t="s">
        <v>21</v>
      </c>
      <c r="H338" s="8">
        <v>3174</v>
      </c>
      <c r="I338" s="8">
        <v>-0.0037265965757047</v>
      </c>
      <c r="J338" s="8">
        <v>-0.00544758729454442</v>
      </c>
      <c r="K338" s="8">
        <v>2.85081660086082</v>
      </c>
      <c r="L338" s="26"/>
      <c r="M338" s="10">
        <f t="shared" si="26"/>
        <v>541.08</v>
      </c>
      <c r="N338" s="18">
        <f t="shared" si="27"/>
        <v>56.0799999999999</v>
      </c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  <c r="AX338" s="16"/>
      <c r="AY338" s="2"/>
      <c r="AZ338" s="2"/>
      <c r="BA338" s="16"/>
      <c r="BB338" s="16"/>
      <c r="BC338" s="16"/>
      <c r="BD338" s="16"/>
      <c r="BE338" s="16"/>
      <c r="BF338" s="16"/>
      <c r="BG338" s="16"/>
      <c r="BH338" s="16"/>
      <c r="BI338" s="16"/>
      <c r="BJ338" s="16"/>
      <c r="BK338" s="16"/>
      <c r="BL338" s="2"/>
      <c r="BM338" s="15"/>
      <c r="BN338" s="21"/>
      <c r="BO338" s="16"/>
      <c r="BP338" s="16"/>
      <c r="BQ338" s="16"/>
      <c r="BR338" s="16"/>
      <c r="BS338" s="16"/>
      <c r="BT338" s="16"/>
      <c r="BU338" s="8"/>
      <c r="BV338" s="8"/>
      <c r="BW338" s="8"/>
      <c r="BX338" s="8"/>
    </row>
    <row r="339" spans="1:76">
      <c r="A339" s="8" t="s">
        <v>19</v>
      </c>
      <c r="B339" s="8">
        <v>485</v>
      </c>
      <c r="C339" s="8" t="s">
        <v>19</v>
      </c>
      <c r="D339" s="8">
        <v>340</v>
      </c>
      <c r="E339" s="8" t="s">
        <v>20</v>
      </c>
      <c r="F339" s="8">
        <v>625</v>
      </c>
      <c r="G339" s="8" t="s">
        <v>21</v>
      </c>
      <c r="H339" s="8">
        <v>3456</v>
      </c>
      <c r="I339" s="8">
        <v>-8.96420266019624e-6</v>
      </c>
      <c r="J339" s="8">
        <v>-3.70008780619458e-5</v>
      </c>
      <c r="K339" s="8">
        <v>2.38773367242947</v>
      </c>
      <c r="L339" s="26"/>
      <c r="M339" s="10">
        <f t="shared" si="26"/>
        <v>588.12</v>
      </c>
      <c r="N339" s="18">
        <f t="shared" si="27"/>
        <v>103.12</v>
      </c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  <c r="AX339" s="16"/>
      <c r="AY339" s="2"/>
      <c r="AZ339" s="2"/>
      <c r="BA339" s="16"/>
      <c r="BB339" s="16"/>
      <c r="BC339" s="16"/>
      <c r="BD339" s="16"/>
      <c r="BE339" s="16"/>
      <c r="BF339" s="16"/>
      <c r="BG339" s="16"/>
      <c r="BH339" s="16"/>
      <c r="BI339" s="16"/>
      <c r="BJ339" s="16"/>
      <c r="BK339" s="16"/>
      <c r="BL339" s="2"/>
      <c r="BM339" s="15"/>
      <c r="BN339" s="21"/>
      <c r="BO339" s="16"/>
      <c r="BP339" s="16"/>
      <c r="BQ339" s="16"/>
      <c r="BR339" s="16"/>
      <c r="BS339" s="16"/>
      <c r="BT339" s="16"/>
      <c r="BU339" s="8"/>
      <c r="BV339" s="8"/>
      <c r="BW339" s="8"/>
      <c r="BX339" s="8"/>
    </row>
    <row r="340" ht="23.25" spans="1:76">
      <c r="A340" s="8" t="s">
        <v>19</v>
      </c>
      <c r="B340" s="8">
        <v>485</v>
      </c>
      <c r="C340" s="8" t="s">
        <v>19</v>
      </c>
      <c r="D340" s="8">
        <v>340</v>
      </c>
      <c r="E340" s="8" t="s">
        <v>20</v>
      </c>
      <c r="F340" s="8">
        <v>676</v>
      </c>
      <c r="G340" s="8" t="s">
        <v>21</v>
      </c>
      <c r="H340" s="8">
        <v>3750</v>
      </c>
      <c r="I340" s="8">
        <v>-1.64304396999218e-5</v>
      </c>
      <c r="J340" s="8">
        <v>-1.83751162673341e-5</v>
      </c>
      <c r="K340" s="8">
        <v>2.11797644299126</v>
      </c>
      <c r="L340" s="26"/>
      <c r="M340" s="10">
        <f t="shared" si="26"/>
        <v>637.12</v>
      </c>
      <c r="N340" s="18">
        <f t="shared" si="27"/>
        <v>152.12</v>
      </c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  <c r="AX340" s="14"/>
      <c r="AY340" s="2"/>
      <c r="AZ340" s="2"/>
      <c r="BA340" s="16"/>
      <c r="BB340" s="16"/>
      <c r="BC340" s="16"/>
      <c r="BD340" s="16"/>
      <c r="BE340" s="16"/>
      <c r="BF340" s="16"/>
      <c r="BG340" s="16"/>
      <c r="BH340" s="16"/>
      <c r="BI340" s="16"/>
      <c r="BJ340" s="16"/>
      <c r="BK340" s="16"/>
      <c r="BL340" s="2"/>
      <c r="BM340" s="15"/>
      <c r="BN340" s="21"/>
      <c r="BO340" s="16"/>
      <c r="BP340" s="16"/>
      <c r="BQ340" s="16"/>
      <c r="BR340" s="16"/>
      <c r="BS340" s="16"/>
      <c r="BT340" s="16"/>
      <c r="BU340" s="8"/>
      <c r="BV340" s="8"/>
      <c r="BW340" s="8"/>
      <c r="BX340" s="8"/>
    </row>
    <row r="341" ht="23.25" spans="1:76">
      <c r="A341" s="8" t="s">
        <v>19</v>
      </c>
      <c r="B341" s="8">
        <v>485</v>
      </c>
      <c r="C341" s="8" t="s">
        <v>19</v>
      </c>
      <c r="D341" s="8">
        <v>340</v>
      </c>
      <c r="E341" s="8" t="s">
        <v>20</v>
      </c>
      <c r="F341" s="8">
        <v>729</v>
      </c>
      <c r="G341" s="8" t="s">
        <v>21</v>
      </c>
      <c r="H341" s="8">
        <v>4056</v>
      </c>
      <c r="I341" s="8">
        <v>-1.10208772652563e-5</v>
      </c>
      <c r="J341" s="8">
        <v>-1.15305574067644e-5</v>
      </c>
      <c r="K341" s="8">
        <v>2.00033633807713</v>
      </c>
      <c r="L341" s="26"/>
      <c r="M341" s="10">
        <f t="shared" si="26"/>
        <v>688.08</v>
      </c>
      <c r="N341" s="18">
        <f t="shared" si="27"/>
        <v>203.08</v>
      </c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  <c r="AY341" s="2"/>
      <c r="AZ341" s="2"/>
      <c r="BA341" s="16"/>
      <c r="BB341" s="16"/>
      <c r="BC341" s="16"/>
      <c r="BD341" s="16"/>
      <c r="BE341" s="16"/>
      <c r="BF341" s="16"/>
      <c r="BG341" s="16"/>
      <c r="BH341" s="16"/>
      <c r="BI341" s="16"/>
      <c r="BJ341" s="16"/>
      <c r="BK341" s="16"/>
      <c r="BL341" s="2"/>
      <c r="BM341" s="15"/>
      <c r="BN341" s="21"/>
      <c r="BO341" s="16"/>
      <c r="BP341" s="16"/>
      <c r="BQ341" s="16"/>
      <c r="BR341" s="16"/>
      <c r="BS341" s="16"/>
      <c r="BT341" s="16"/>
      <c r="BU341" s="8"/>
      <c r="BV341" s="8"/>
      <c r="BW341" s="8"/>
      <c r="BX341" s="8"/>
    </row>
    <row r="342" spans="1:76">
      <c r="A342" s="8" t="s">
        <v>19</v>
      </c>
      <c r="B342" s="8">
        <v>485</v>
      </c>
      <c r="C342" s="8" t="s">
        <v>19</v>
      </c>
      <c r="D342" s="8">
        <v>340</v>
      </c>
      <c r="E342" s="8" t="s">
        <v>20</v>
      </c>
      <c r="F342" s="8">
        <v>784</v>
      </c>
      <c r="G342" s="8" t="s">
        <v>21</v>
      </c>
      <c r="H342" s="8">
        <v>4374</v>
      </c>
      <c r="I342" s="8">
        <v>-1.07787649301181e-5</v>
      </c>
      <c r="J342" s="8">
        <v>-1.01316999653049e-5</v>
      </c>
      <c r="K342" s="8">
        <v>1.94095319419152</v>
      </c>
      <c r="L342" s="26"/>
      <c r="M342" s="10">
        <f t="shared" si="26"/>
        <v>744.855</v>
      </c>
      <c r="N342" s="18">
        <f t="shared" si="27"/>
        <v>259.855</v>
      </c>
      <c r="BA342" s="16"/>
      <c r="BB342" s="16"/>
      <c r="BC342" s="16"/>
      <c r="BD342" s="16"/>
      <c r="BE342" s="16"/>
      <c r="BF342" s="16"/>
      <c r="BG342" s="16"/>
      <c r="BH342" s="16"/>
      <c r="BI342" s="16"/>
      <c r="BJ342" s="16"/>
      <c r="BK342" s="16"/>
      <c r="BL342" s="2"/>
      <c r="BM342" s="15"/>
      <c r="BN342" s="21"/>
      <c r="BO342" s="16"/>
      <c r="BP342" s="16"/>
      <c r="BQ342" s="16"/>
      <c r="BR342" s="16"/>
      <c r="BS342" s="16"/>
      <c r="BT342" s="16"/>
      <c r="BU342" s="8"/>
      <c r="BV342" s="8"/>
      <c r="BW342" s="8"/>
      <c r="BX342" s="8"/>
    </row>
    <row r="343" spans="1:76">
      <c r="A343" s="8" t="s">
        <v>19</v>
      </c>
      <c r="B343" s="8">
        <v>485</v>
      </c>
      <c r="C343" s="8" t="s">
        <v>19</v>
      </c>
      <c r="D343" s="8">
        <v>340</v>
      </c>
      <c r="E343" s="8" t="s">
        <v>20</v>
      </c>
      <c r="F343" s="8">
        <v>841</v>
      </c>
      <c r="G343" s="8" t="s">
        <v>21</v>
      </c>
      <c r="H343" s="8">
        <v>4704</v>
      </c>
      <c r="I343" s="8">
        <v>-5.47008622817738e-6</v>
      </c>
      <c r="J343" s="8">
        <v>-5.60551843709712e-6</v>
      </c>
      <c r="K343" s="8">
        <v>1.836610887114</v>
      </c>
      <c r="L343" s="26"/>
      <c r="M343" s="10">
        <f t="shared" si="26"/>
        <v>799.875</v>
      </c>
      <c r="N343" s="18">
        <f t="shared" si="27"/>
        <v>314.875</v>
      </c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  <c r="AX343" s="16"/>
      <c r="AY343" s="2"/>
      <c r="AZ343" s="2"/>
      <c r="BA343" s="16"/>
      <c r="BB343" s="16"/>
      <c r="BC343" s="16"/>
      <c r="BD343" s="16"/>
      <c r="BE343" s="16"/>
      <c r="BF343" s="16"/>
      <c r="BG343" s="16"/>
      <c r="BH343" s="16"/>
      <c r="BI343" s="16"/>
      <c r="BJ343" s="16"/>
      <c r="BK343" s="16"/>
      <c r="BL343" s="2"/>
      <c r="BM343" s="15"/>
      <c r="BN343" s="21"/>
      <c r="BO343" s="16"/>
      <c r="BP343" s="16"/>
      <c r="BQ343" s="16"/>
      <c r="BR343" s="16"/>
      <c r="BS343" s="16"/>
      <c r="BT343" s="16"/>
      <c r="BU343" s="8"/>
      <c r="BV343" s="8"/>
      <c r="BW343" s="8"/>
      <c r="BX343" s="8"/>
    </row>
    <row r="344" spans="1:76">
      <c r="A344" s="8" t="s">
        <v>19</v>
      </c>
      <c r="B344" s="8">
        <v>485</v>
      </c>
      <c r="C344" s="8" t="s">
        <v>19</v>
      </c>
      <c r="D344" s="8">
        <v>340</v>
      </c>
      <c r="E344" s="8" t="s">
        <v>20</v>
      </c>
      <c r="F344" s="8">
        <v>900</v>
      </c>
      <c r="G344" s="8" t="s">
        <v>21</v>
      </c>
      <c r="H344" s="8">
        <v>5046</v>
      </c>
      <c r="I344" s="8">
        <v>-4.21097855242494e-6</v>
      </c>
      <c r="J344" s="8">
        <v>-4.36598022924958e-6</v>
      </c>
      <c r="K344" s="8">
        <v>1.78284549269655</v>
      </c>
      <c r="L344" s="26"/>
      <c r="M344" s="10">
        <f t="shared" si="26"/>
        <v>856.855</v>
      </c>
      <c r="N344" s="18">
        <f t="shared" si="27"/>
        <v>371.855</v>
      </c>
      <c r="AN344" s="16"/>
      <c r="AO344" s="16"/>
      <c r="AP344" s="16"/>
      <c r="AQ344" s="16"/>
      <c r="AR344" s="16"/>
      <c r="AS344" s="16"/>
      <c r="AT344" s="16"/>
      <c r="AU344" s="16"/>
      <c r="AV344" s="16"/>
      <c r="AW344" s="16"/>
      <c r="AX344" s="16"/>
      <c r="AY344" s="2"/>
      <c r="AZ344" s="2"/>
      <c r="BA344" s="16"/>
      <c r="BB344" s="16"/>
      <c r="BC344" s="16"/>
      <c r="BD344" s="16"/>
      <c r="BE344" s="16"/>
      <c r="BF344" s="16"/>
      <c r="BG344" s="16"/>
      <c r="BH344" s="16"/>
      <c r="BI344" s="16"/>
      <c r="BJ344" s="16"/>
      <c r="BK344" s="16"/>
      <c r="BL344" s="2"/>
      <c r="BM344" s="15"/>
      <c r="BN344" s="21"/>
      <c r="BO344" s="16"/>
      <c r="BP344" s="16"/>
      <c r="BQ344" s="16"/>
      <c r="BR344" s="16"/>
      <c r="BS344" s="16"/>
      <c r="BT344" s="16"/>
      <c r="BU344" s="8"/>
      <c r="BV344" s="8"/>
      <c r="BW344" s="8"/>
      <c r="BX344" s="8"/>
    </row>
    <row r="345" spans="1:76">
      <c r="A345" s="8" t="s">
        <v>19</v>
      </c>
      <c r="B345" s="8">
        <v>485</v>
      </c>
      <c r="C345" s="8" t="s">
        <v>19</v>
      </c>
      <c r="D345" s="8">
        <v>340</v>
      </c>
      <c r="E345" s="8" t="s">
        <v>20</v>
      </c>
      <c r="F345" s="8">
        <v>961</v>
      </c>
      <c r="G345" s="8" t="s">
        <v>21</v>
      </c>
      <c r="H345" s="8">
        <v>5400</v>
      </c>
      <c r="I345" s="8">
        <v>-2.89984710080755e-6</v>
      </c>
      <c r="J345" s="8">
        <v>-3.03098250142259e-6</v>
      </c>
      <c r="K345" s="8">
        <v>1.70909128683241</v>
      </c>
      <c r="L345" s="26"/>
      <c r="M345" s="10">
        <f t="shared" si="26"/>
        <v>915.795</v>
      </c>
      <c r="N345" s="18">
        <f t="shared" si="27"/>
        <v>430.795</v>
      </c>
      <c r="AN345" s="16"/>
      <c r="AO345" s="16"/>
      <c r="AP345" s="16"/>
      <c r="AQ345" s="16"/>
      <c r="AR345" s="16"/>
      <c r="AS345" s="16"/>
      <c r="AT345" s="16"/>
      <c r="AU345" s="16"/>
      <c r="AV345" s="16"/>
      <c r="AW345" s="16"/>
      <c r="AX345" s="16"/>
      <c r="AY345" s="2"/>
      <c r="AZ345" s="2"/>
      <c r="BA345" s="16"/>
      <c r="BB345" s="16"/>
      <c r="BC345" s="16"/>
      <c r="BD345" s="16"/>
      <c r="BE345" s="16"/>
      <c r="BF345" s="16"/>
      <c r="BG345" s="16"/>
      <c r="BH345" s="16"/>
      <c r="BI345" s="16"/>
      <c r="BJ345" s="16"/>
      <c r="BK345" s="16"/>
      <c r="BL345" s="2"/>
      <c r="BM345" s="15"/>
      <c r="BN345" s="21"/>
      <c r="BO345" s="16"/>
      <c r="BP345" s="16"/>
      <c r="BQ345" s="16"/>
      <c r="BR345" s="16"/>
      <c r="BS345" s="16"/>
      <c r="BT345" s="16"/>
      <c r="BU345" s="8"/>
      <c r="BV345" s="8"/>
      <c r="BW345" s="8"/>
      <c r="BX345" s="8"/>
    </row>
    <row r="346" spans="1:76">
      <c r="A346" s="8" t="s">
        <v>19</v>
      </c>
      <c r="B346" s="8">
        <v>485</v>
      </c>
      <c r="C346" s="8" t="s">
        <v>19</v>
      </c>
      <c r="D346" s="8">
        <v>340</v>
      </c>
      <c r="E346" s="8" t="s">
        <v>20</v>
      </c>
      <c r="F346" s="8">
        <v>1024</v>
      </c>
      <c r="G346" s="8" t="s">
        <v>21</v>
      </c>
      <c r="H346" s="8">
        <v>5766</v>
      </c>
      <c r="I346" s="8">
        <v>-2.57594561370713e-6</v>
      </c>
      <c r="J346" s="8">
        <v>-2.65177706647563e-6</v>
      </c>
      <c r="K346" s="8">
        <v>1.67452911176796</v>
      </c>
      <c r="L346" s="26"/>
      <c r="M346" s="10">
        <f t="shared" si="26"/>
        <v>976.695</v>
      </c>
      <c r="N346" s="18">
        <f t="shared" si="27"/>
        <v>491.695</v>
      </c>
      <c r="AN346" s="16"/>
      <c r="AO346" s="16"/>
      <c r="AP346" s="16"/>
      <c r="AQ346" s="16"/>
      <c r="AR346" s="16"/>
      <c r="AS346" s="16"/>
      <c r="AT346" s="16"/>
      <c r="AU346" s="16"/>
      <c r="AV346" s="16"/>
      <c r="AW346" s="16"/>
      <c r="AX346" s="16"/>
      <c r="AY346" s="2"/>
      <c r="AZ346" s="2"/>
      <c r="BA346" s="16"/>
      <c r="BB346" s="16"/>
      <c r="BC346" s="16"/>
      <c r="BD346" s="16"/>
      <c r="BE346" s="16"/>
      <c r="BF346" s="16"/>
      <c r="BG346" s="16"/>
      <c r="BH346" s="16"/>
      <c r="BI346" s="16"/>
      <c r="BJ346" s="16"/>
      <c r="BK346" s="16"/>
      <c r="BL346" s="2"/>
      <c r="BM346" s="15"/>
      <c r="BN346" s="21"/>
      <c r="BO346" s="16"/>
      <c r="BP346" s="16"/>
      <c r="BQ346" s="16"/>
      <c r="BR346" s="16"/>
      <c r="BS346" s="16"/>
      <c r="BT346" s="16"/>
      <c r="BU346" s="8"/>
      <c r="BV346" s="8"/>
      <c r="BW346" s="8"/>
      <c r="BX346" s="8"/>
    </row>
    <row r="347" spans="1:76">
      <c r="A347" s="8" t="s">
        <v>19</v>
      </c>
      <c r="B347" s="8">
        <v>485</v>
      </c>
      <c r="C347" s="8" t="s">
        <v>19</v>
      </c>
      <c r="D347" s="8">
        <v>340</v>
      </c>
      <c r="E347" s="8" t="s">
        <v>20</v>
      </c>
      <c r="F347" s="8">
        <v>1089</v>
      </c>
      <c r="G347" s="8" t="s">
        <v>21</v>
      </c>
      <c r="H347" s="8">
        <v>6144</v>
      </c>
      <c r="I347" s="8">
        <v>-1.83672230510806e-6</v>
      </c>
      <c r="J347" s="8">
        <v>-1.99095361839012e-6</v>
      </c>
      <c r="K347" s="8">
        <v>1.62444146355354</v>
      </c>
      <c r="L347" s="26"/>
      <c r="M347" s="10">
        <f t="shared" si="26"/>
        <v>1039.555</v>
      </c>
      <c r="N347" s="18">
        <f t="shared" si="27"/>
        <v>554.555</v>
      </c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  <c r="AX347" s="16"/>
      <c r="AY347" s="2"/>
      <c r="AZ347" s="2"/>
      <c r="BA347" s="16"/>
      <c r="BB347" s="16"/>
      <c r="BC347" s="16"/>
      <c r="BD347" s="16"/>
      <c r="BE347" s="16"/>
      <c r="BF347" s="16"/>
      <c r="BG347" s="16"/>
      <c r="BH347" s="16"/>
      <c r="BI347" s="16"/>
      <c r="BJ347" s="16"/>
      <c r="BK347" s="16"/>
      <c r="BL347" s="2"/>
      <c r="BM347" s="15"/>
      <c r="BN347" s="21"/>
      <c r="BO347" s="16"/>
      <c r="BP347" s="16"/>
      <c r="BQ347" s="16"/>
      <c r="BR347" s="16"/>
      <c r="BS347" s="16"/>
      <c r="BT347" s="16"/>
      <c r="BU347" s="8"/>
      <c r="BV347" s="8"/>
      <c r="BW347" s="8"/>
      <c r="BX347" s="8"/>
    </row>
    <row r="348" ht="23.25" spans="1:76">
      <c r="A348" s="7" t="s">
        <v>35</v>
      </c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26"/>
      <c r="M348" s="10"/>
      <c r="N348" s="18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16"/>
      <c r="AO348" s="16"/>
      <c r="AP348" s="16"/>
      <c r="AQ348" s="16"/>
      <c r="AR348" s="16"/>
      <c r="AS348" s="16"/>
      <c r="AT348" s="16"/>
      <c r="AU348" s="16"/>
      <c r="AV348" s="16"/>
      <c r="AW348" s="16"/>
      <c r="AX348" s="16"/>
      <c r="AY348" s="2"/>
      <c r="AZ348" s="2"/>
      <c r="BA348" s="20"/>
      <c r="BB348" s="20"/>
      <c r="BC348" s="20"/>
      <c r="BD348" s="20"/>
      <c r="BE348" s="20"/>
      <c r="BF348" s="20"/>
      <c r="BG348" s="20"/>
      <c r="BH348" s="20"/>
      <c r="BI348" s="20"/>
      <c r="BJ348" s="20"/>
      <c r="BK348" s="20"/>
      <c r="BL348" s="2"/>
      <c r="BM348" s="15"/>
      <c r="BN348" s="21"/>
      <c r="BO348" s="16"/>
      <c r="BP348" s="16"/>
      <c r="BQ348" s="16"/>
      <c r="BR348" s="16"/>
      <c r="BS348" s="16"/>
      <c r="BT348" s="16"/>
      <c r="BU348" s="8"/>
      <c r="BV348" s="8"/>
      <c r="BW348" s="8"/>
      <c r="BX348" s="8"/>
    </row>
    <row r="349" ht="23.25" spans="1:76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26"/>
      <c r="M349" s="10"/>
      <c r="N349" s="18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  <c r="AX349" s="16"/>
      <c r="AY349" s="2"/>
      <c r="AZ349" s="2"/>
      <c r="BA349" s="20"/>
      <c r="BB349" s="20"/>
      <c r="BC349" s="20"/>
      <c r="BD349" s="20"/>
      <c r="BE349" s="20"/>
      <c r="BF349" s="20"/>
      <c r="BG349" s="20"/>
      <c r="BH349" s="20"/>
      <c r="BI349" s="20"/>
      <c r="BJ349" s="20"/>
      <c r="BK349" s="20"/>
      <c r="BL349" s="2"/>
      <c r="BM349" s="15"/>
      <c r="BN349" s="21"/>
      <c r="BO349" s="14"/>
      <c r="BP349" s="14"/>
      <c r="BQ349" s="14"/>
      <c r="BR349" s="14"/>
      <c r="BS349" s="14"/>
      <c r="BT349" s="14"/>
      <c r="BU349" s="24"/>
      <c r="BV349" s="24"/>
      <c r="BW349" s="24"/>
      <c r="BX349" s="24"/>
    </row>
    <row r="350" ht="23.25" spans="1:76">
      <c r="A350" s="8" t="s">
        <v>7</v>
      </c>
      <c r="B350" s="8" t="s">
        <v>8</v>
      </c>
      <c r="C350" s="8" t="s">
        <v>9</v>
      </c>
      <c r="D350" s="8" t="s">
        <v>10</v>
      </c>
      <c r="E350" s="8" t="s">
        <v>11</v>
      </c>
      <c r="F350" s="8" t="s">
        <v>12</v>
      </c>
      <c r="G350" s="8" t="s">
        <v>13</v>
      </c>
      <c r="H350" s="8" t="s">
        <v>14</v>
      </c>
      <c r="I350" s="8" t="s">
        <v>15</v>
      </c>
      <c r="J350" s="8" t="s">
        <v>16</v>
      </c>
      <c r="K350" s="8" t="s">
        <v>17</v>
      </c>
      <c r="L350" s="26"/>
      <c r="M350" s="10"/>
      <c r="N350" s="18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  <c r="AY350" s="2"/>
      <c r="AZ350" s="2"/>
      <c r="BA350" s="16"/>
      <c r="BB350" s="16"/>
      <c r="BC350" s="16"/>
      <c r="BD350" s="16"/>
      <c r="BE350" s="16"/>
      <c r="BF350" s="16"/>
      <c r="BG350" s="16"/>
      <c r="BH350" s="16"/>
      <c r="BI350" s="16"/>
      <c r="BJ350" s="16"/>
      <c r="BK350" s="16"/>
      <c r="BL350" s="2"/>
      <c r="BM350" s="15"/>
      <c r="BN350" s="21"/>
      <c r="BO350" s="14"/>
      <c r="BP350" s="14"/>
      <c r="BQ350" s="14"/>
      <c r="BR350" s="14"/>
      <c r="BS350" s="14"/>
      <c r="BT350" s="14"/>
      <c r="BU350" s="24"/>
      <c r="BV350" s="24"/>
      <c r="BW350" s="24"/>
      <c r="BX350" s="24"/>
    </row>
    <row r="351" spans="1:76">
      <c r="A351" s="8" t="s">
        <v>19</v>
      </c>
      <c r="B351" s="8">
        <v>564</v>
      </c>
      <c r="C351" s="8" t="s">
        <v>19</v>
      </c>
      <c r="D351" s="8">
        <v>340</v>
      </c>
      <c r="E351" s="8" t="s">
        <v>20</v>
      </c>
      <c r="F351" s="8">
        <v>441</v>
      </c>
      <c r="G351" s="8" t="s">
        <v>21</v>
      </c>
      <c r="H351" s="8">
        <v>2400</v>
      </c>
      <c r="I351" s="8">
        <v>-2.25203863654996</v>
      </c>
      <c r="J351" s="8">
        <v>-1.92882337700629</v>
      </c>
      <c r="K351" s="8">
        <v>0.0122248701117532</v>
      </c>
      <c r="L351" s="26"/>
      <c r="M351" s="10">
        <f t="shared" ref="M351:M363" si="28">(FLOOR(((SQRT(1+8*F351)-3))/2,0.1)*(FLOOR(((SQRT(1+8*F351)-3))/2,0.1)+1))/2</f>
        <v>411.72</v>
      </c>
      <c r="N351" s="18">
        <f t="shared" ref="N351:N363" si="29">ABS(B351-M351)</f>
        <v>152.28</v>
      </c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  <c r="AX351" s="16"/>
      <c r="AY351" s="2"/>
      <c r="AZ351" s="2"/>
      <c r="BA351" s="16"/>
      <c r="BB351" s="16"/>
      <c r="BC351" s="16"/>
      <c r="BD351" s="16"/>
      <c r="BE351" s="16"/>
      <c r="BF351" s="16"/>
      <c r="BG351" s="16"/>
      <c r="BH351" s="16"/>
      <c r="BI351" s="16"/>
      <c r="BJ351" s="16"/>
      <c r="BK351" s="16"/>
      <c r="BL351" s="2"/>
      <c r="BM351" s="15"/>
      <c r="BN351" s="21"/>
      <c r="BO351" s="15"/>
      <c r="BP351" s="15"/>
      <c r="BQ351" s="15"/>
      <c r="BR351" s="15"/>
      <c r="BS351" s="15"/>
      <c r="BT351" s="15"/>
      <c r="BU351" s="10"/>
      <c r="BV351" s="10"/>
      <c r="BW351" s="10"/>
      <c r="BX351" s="10"/>
    </row>
    <row r="352" spans="1:76">
      <c r="A352" s="8" t="s">
        <v>19</v>
      </c>
      <c r="B352" s="8">
        <v>564</v>
      </c>
      <c r="C352" s="8" t="s">
        <v>19</v>
      </c>
      <c r="D352" s="8">
        <v>340</v>
      </c>
      <c r="E352" s="8" t="s">
        <v>20</v>
      </c>
      <c r="F352" s="8">
        <v>484</v>
      </c>
      <c r="G352" s="8" t="s">
        <v>21</v>
      </c>
      <c r="H352" s="8">
        <v>2646</v>
      </c>
      <c r="I352" s="8">
        <v>-2.04805552278486</v>
      </c>
      <c r="J352" s="8">
        <v>-1.67313636382391</v>
      </c>
      <c r="K352" s="8">
        <v>0.666175940173557</v>
      </c>
      <c r="L352" s="26"/>
      <c r="M352" s="10">
        <f t="shared" si="28"/>
        <v>452.88</v>
      </c>
      <c r="N352" s="18">
        <f t="shared" si="29"/>
        <v>111.12</v>
      </c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  <c r="AX352" s="16"/>
      <c r="AY352" s="2"/>
      <c r="AZ352" s="2"/>
      <c r="BA352" s="16"/>
      <c r="BB352" s="16"/>
      <c r="BC352" s="16"/>
      <c r="BD352" s="16"/>
      <c r="BE352" s="16"/>
      <c r="BF352" s="16"/>
      <c r="BG352" s="16"/>
      <c r="BH352" s="16"/>
      <c r="BI352" s="16"/>
      <c r="BJ352" s="16"/>
      <c r="BK352" s="16"/>
      <c r="BL352" s="2"/>
      <c r="BM352" s="15"/>
      <c r="BN352" s="21"/>
      <c r="BO352" s="16"/>
      <c r="BP352" s="16"/>
      <c r="BQ352" s="16"/>
      <c r="BR352" s="16"/>
      <c r="BS352" s="16"/>
      <c r="BT352" s="16"/>
      <c r="BU352" s="8"/>
      <c r="BV352" s="8"/>
      <c r="BW352" s="8"/>
      <c r="BX352" s="8"/>
    </row>
    <row r="353" spans="1:76">
      <c r="A353" s="8" t="s">
        <v>19</v>
      </c>
      <c r="B353" s="8">
        <v>564</v>
      </c>
      <c r="C353" s="8" t="s">
        <v>19</v>
      </c>
      <c r="D353" s="8">
        <v>340</v>
      </c>
      <c r="E353" s="8" t="s">
        <v>20</v>
      </c>
      <c r="F353" s="8">
        <v>529</v>
      </c>
      <c r="G353" s="8" t="s">
        <v>21</v>
      </c>
      <c r="H353" s="8">
        <v>2904</v>
      </c>
      <c r="I353" s="8">
        <v>-1.14733024633775</v>
      </c>
      <c r="J353" s="8">
        <v>-0.994325511137384</v>
      </c>
      <c r="K353" s="8">
        <v>1.45624200437648</v>
      </c>
      <c r="L353" s="26"/>
      <c r="M353" s="10">
        <f t="shared" si="28"/>
        <v>496</v>
      </c>
      <c r="N353" s="18">
        <f t="shared" si="29"/>
        <v>68</v>
      </c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  <c r="AX353" s="16"/>
      <c r="AY353" s="2"/>
      <c r="AZ353" s="2"/>
      <c r="BA353" s="16"/>
      <c r="BB353" s="16"/>
      <c r="BC353" s="16"/>
      <c r="BD353" s="16"/>
      <c r="BE353" s="16"/>
      <c r="BF353" s="16"/>
      <c r="BG353" s="16"/>
      <c r="BH353" s="16"/>
      <c r="BI353" s="16"/>
      <c r="BJ353" s="16"/>
      <c r="BK353" s="16"/>
      <c r="BL353" s="2"/>
      <c r="BM353" s="15"/>
      <c r="BN353" s="21"/>
      <c r="BO353" s="16"/>
      <c r="BP353" s="16"/>
      <c r="BQ353" s="16"/>
      <c r="BR353" s="16"/>
      <c r="BS353" s="16"/>
      <c r="BT353" s="16"/>
      <c r="BU353" s="8"/>
      <c r="BV353" s="8"/>
      <c r="BW353" s="8"/>
      <c r="BX353" s="8"/>
    </row>
    <row r="354" spans="1:76">
      <c r="A354" s="9" t="s">
        <v>19</v>
      </c>
      <c r="B354" s="9">
        <v>564</v>
      </c>
      <c r="C354" s="9" t="s">
        <v>19</v>
      </c>
      <c r="D354" s="9">
        <v>340</v>
      </c>
      <c r="E354" s="9" t="s">
        <v>20</v>
      </c>
      <c r="F354" s="9">
        <v>576</v>
      </c>
      <c r="G354" s="9" t="s">
        <v>21</v>
      </c>
      <c r="H354" s="9">
        <v>3174</v>
      </c>
      <c r="I354" s="9">
        <v>-0.476838499153405</v>
      </c>
      <c r="J354" s="9">
        <v>-0.449275848365179</v>
      </c>
      <c r="K354" s="9">
        <v>2.27070476483343</v>
      </c>
      <c r="L354" s="27"/>
      <c r="M354" s="11">
        <f t="shared" si="28"/>
        <v>541.08</v>
      </c>
      <c r="N354" s="18">
        <f t="shared" si="29"/>
        <v>22.9200000000001</v>
      </c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  <c r="AX354" s="16"/>
      <c r="AY354" s="2"/>
      <c r="AZ354" s="2"/>
      <c r="BA354" s="21"/>
      <c r="BB354" s="21"/>
      <c r="BC354" s="21"/>
      <c r="BD354" s="21"/>
      <c r="BE354" s="21"/>
      <c r="BF354" s="21"/>
      <c r="BG354" s="21"/>
      <c r="BH354" s="21"/>
      <c r="BI354" s="21"/>
      <c r="BJ354" s="21"/>
      <c r="BK354" s="21"/>
      <c r="BL354" s="28"/>
      <c r="BM354" s="22"/>
      <c r="BN354" s="21"/>
      <c r="BO354" s="16"/>
      <c r="BP354" s="16"/>
      <c r="BQ354" s="16"/>
      <c r="BR354" s="16"/>
      <c r="BS354" s="16"/>
      <c r="BT354" s="16"/>
      <c r="BU354" s="8"/>
      <c r="BV354" s="8"/>
      <c r="BW354" s="8"/>
      <c r="BX354" s="8"/>
    </row>
    <row r="355" spans="1:76">
      <c r="A355" s="8" t="s">
        <v>19</v>
      </c>
      <c r="B355" s="8">
        <v>564</v>
      </c>
      <c r="C355" s="8" t="s">
        <v>19</v>
      </c>
      <c r="D355" s="8">
        <v>340</v>
      </c>
      <c r="E355" s="8" t="s">
        <v>20</v>
      </c>
      <c r="F355" s="8">
        <v>625</v>
      </c>
      <c r="G355" s="8" t="s">
        <v>21</v>
      </c>
      <c r="H355" s="8">
        <v>3456</v>
      </c>
      <c r="I355" s="8">
        <v>-0.000807096902953077</v>
      </c>
      <c r="J355" s="8">
        <v>-0.00142836104133227</v>
      </c>
      <c r="K355" s="8">
        <v>3.04675622883714</v>
      </c>
      <c r="L355" s="26"/>
      <c r="M355" s="10">
        <f t="shared" si="28"/>
        <v>588.12</v>
      </c>
      <c r="N355" s="18">
        <f t="shared" si="29"/>
        <v>24.1200000000001</v>
      </c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  <c r="AX355" s="16"/>
      <c r="AY355" s="2"/>
      <c r="AZ355" s="2"/>
      <c r="BA355" s="16"/>
      <c r="BB355" s="16"/>
      <c r="BC355" s="16"/>
      <c r="BD355" s="16"/>
      <c r="BE355" s="16"/>
      <c r="BF355" s="16"/>
      <c r="BG355" s="16"/>
      <c r="BH355" s="16"/>
      <c r="BI355" s="16"/>
      <c r="BJ355" s="16"/>
      <c r="BK355" s="16"/>
      <c r="BL355" s="2"/>
      <c r="BM355" s="15"/>
      <c r="BN355" s="21"/>
      <c r="BO355" s="16"/>
      <c r="BP355" s="16"/>
      <c r="BQ355" s="16"/>
      <c r="BR355" s="16"/>
      <c r="BS355" s="16"/>
      <c r="BT355" s="16"/>
      <c r="BU355" s="8"/>
      <c r="BV355" s="8"/>
      <c r="BW355" s="8"/>
      <c r="BX355" s="8"/>
    </row>
    <row r="356" spans="1:76">
      <c r="A356" s="8" t="s">
        <v>19</v>
      </c>
      <c r="B356" s="8">
        <v>564</v>
      </c>
      <c r="C356" s="8" t="s">
        <v>19</v>
      </c>
      <c r="D356" s="8">
        <v>340</v>
      </c>
      <c r="E356" s="8" t="s">
        <v>20</v>
      </c>
      <c r="F356" s="8">
        <v>676</v>
      </c>
      <c r="G356" s="8" t="s">
        <v>21</v>
      </c>
      <c r="H356" s="8">
        <v>3750</v>
      </c>
      <c r="I356" s="8">
        <v>-7.59277170382996e-5</v>
      </c>
      <c r="J356" s="8">
        <v>-9.02170101087305e-5</v>
      </c>
      <c r="K356" s="8">
        <v>2.46841545964686</v>
      </c>
      <c r="L356" s="26"/>
      <c r="M356" s="10">
        <f t="shared" si="28"/>
        <v>637.12</v>
      </c>
      <c r="N356" s="18">
        <f t="shared" si="29"/>
        <v>73.1200000000001</v>
      </c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  <c r="AX356" s="16"/>
      <c r="AY356" s="2"/>
      <c r="AZ356" s="2"/>
      <c r="BA356" s="16"/>
      <c r="BB356" s="16"/>
      <c r="BC356" s="16"/>
      <c r="BD356" s="16"/>
      <c r="BE356" s="16"/>
      <c r="BF356" s="16"/>
      <c r="BG356" s="16"/>
      <c r="BH356" s="16"/>
      <c r="BI356" s="16"/>
      <c r="BJ356" s="16"/>
      <c r="BK356" s="16"/>
      <c r="BL356" s="2"/>
      <c r="BM356" s="15"/>
      <c r="BN356" s="21"/>
      <c r="BO356" s="16"/>
      <c r="BP356" s="16"/>
      <c r="BQ356" s="16"/>
      <c r="BR356" s="16"/>
      <c r="BS356" s="16"/>
      <c r="BT356" s="16"/>
      <c r="BU356" s="8"/>
      <c r="BV356" s="8"/>
      <c r="BW356" s="8"/>
      <c r="BX356" s="8"/>
    </row>
    <row r="357" spans="1:76">
      <c r="A357" s="8" t="s">
        <v>19</v>
      </c>
      <c r="B357" s="8">
        <v>564</v>
      </c>
      <c r="C357" s="8" t="s">
        <v>19</v>
      </c>
      <c r="D357" s="8">
        <v>340</v>
      </c>
      <c r="E357" s="8" t="s">
        <v>20</v>
      </c>
      <c r="F357" s="8">
        <v>729</v>
      </c>
      <c r="G357" s="8" t="s">
        <v>21</v>
      </c>
      <c r="H357" s="8">
        <v>4056</v>
      </c>
      <c r="I357" s="8">
        <v>-3.42570183323025e-5</v>
      </c>
      <c r="J357" s="8">
        <v>-3.20849037099732e-5</v>
      </c>
      <c r="K357" s="8">
        <v>2.19523570956786</v>
      </c>
      <c r="L357" s="26"/>
      <c r="M357" s="10">
        <f t="shared" si="28"/>
        <v>688.08</v>
      </c>
      <c r="N357" s="18">
        <f t="shared" si="29"/>
        <v>124.08</v>
      </c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  <c r="AX357" s="16"/>
      <c r="AY357" s="2"/>
      <c r="AZ357" s="2"/>
      <c r="BA357" s="16"/>
      <c r="BB357" s="16"/>
      <c r="BC357" s="16"/>
      <c r="BD357" s="16"/>
      <c r="BE357" s="16"/>
      <c r="BF357" s="16"/>
      <c r="BG357" s="16"/>
      <c r="BH357" s="16"/>
      <c r="BI357" s="16"/>
      <c r="BJ357" s="16"/>
      <c r="BK357" s="16"/>
      <c r="BL357" s="2"/>
      <c r="BM357" s="15"/>
      <c r="BN357" s="21"/>
      <c r="BO357" s="16"/>
      <c r="BP357" s="16"/>
      <c r="BQ357" s="16"/>
      <c r="BR357" s="16"/>
      <c r="BS357" s="16"/>
      <c r="BT357" s="16"/>
      <c r="BU357" s="8"/>
      <c r="BV357" s="8"/>
      <c r="BW357" s="8"/>
      <c r="BX357" s="8"/>
    </row>
    <row r="358" ht="23.25" spans="1:76">
      <c r="A358" s="8" t="s">
        <v>19</v>
      </c>
      <c r="B358" s="8">
        <v>564</v>
      </c>
      <c r="C358" s="8" t="s">
        <v>19</v>
      </c>
      <c r="D358" s="8">
        <v>340</v>
      </c>
      <c r="E358" s="8" t="s">
        <v>20</v>
      </c>
      <c r="F358" s="8">
        <v>784</v>
      </c>
      <c r="G358" s="8" t="s">
        <v>21</v>
      </c>
      <c r="H358" s="8">
        <v>4374</v>
      </c>
      <c r="I358" s="8">
        <v>-2.55063720553278e-5</v>
      </c>
      <c r="J358" s="8">
        <v>-2.29860219281289e-5</v>
      </c>
      <c r="K358" s="8">
        <v>2.11362572558094</v>
      </c>
      <c r="L358" s="26"/>
      <c r="M358" s="10">
        <f t="shared" si="28"/>
        <v>744.855</v>
      </c>
      <c r="N358" s="18">
        <f t="shared" si="29"/>
        <v>180.855</v>
      </c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  <c r="AX358" s="14"/>
      <c r="AY358" s="2"/>
      <c r="AZ358" s="2"/>
      <c r="BA358" s="16"/>
      <c r="BB358" s="16"/>
      <c r="BC358" s="16"/>
      <c r="BD358" s="16"/>
      <c r="BE358" s="16"/>
      <c r="BF358" s="16"/>
      <c r="BG358" s="16"/>
      <c r="BH358" s="16"/>
      <c r="BI358" s="16"/>
      <c r="BJ358" s="16"/>
      <c r="BK358" s="16"/>
      <c r="BL358" s="2"/>
      <c r="BM358" s="15"/>
      <c r="BN358" s="21"/>
      <c r="BO358" s="16"/>
      <c r="BP358" s="16"/>
      <c r="BQ358" s="16"/>
      <c r="BR358" s="16"/>
      <c r="BS358" s="16"/>
      <c r="BT358" s="16"/>
      <c r="BU358" s="8"/>
      <c r="BV358" s="8"/>
      <c r="BW358" s="8"/>
      <c r="BX358" s="8"/>
    </row>
    <row r="359" ht="23.25" spans="1:76">
      <c r="A359" s="8" t="s">
        <v>19</v>
      </c>
      <c r="B359" s="8">
        <v>564</v>
      </c>
      <c r="C359" s="8" t="s">
        <v>19</v>
      </c>
      <c r="D359" s="8">
        <v>340</v>
      </c>
      <c r="E359" s="8" t="s">
        <v>20</v>
      </c>
      <c r="F359" s="8">
        <v>841</v>
      </c>
      <c r="G359" s="8" t="s">
        <v>21</v>
      </c>
      <c r="H359" s="8">
        <v>4704</v>
      </c>
      <c r="I359" s="8">
        <v>-1.76639481628146e-5</v>
      </c>
      <c r="J359" s="8">
        <v>-1.59968820258588e-5</v>
      </c>
      <c r="K359" s="8">
        <v>2.03319225277049</v>
      </c>
      <c r="L359" s="26"/>
      <c r="M359" s="10">
        <f t="shared" si="28"/>
        <v>799.875</v>
      </c>
      <c r="N359" s="18">
        <f t="shared" si="29"/>
        <v>235.875</v>
      </c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X359" s="14"/>
      <c r="AY359" s="2"/>
      <c r="AZ359" s="2"/>
      <c r="BA359" s="16"/>
      <c r="BB359" s="16"/>
      <c r="BC359" s="16"/>
      <c r="BD359" s="16"/>
      <c r="BE359" s="16"/>
      <c r="BF359" s="16"/>
      <c r="BG359" s="16"/>
      <c r="BH359" s="16"/>
      <c r="BI359" s="16"/>
      <c r="BJ359" s="16"/>
      <c r="BK359" s="16"/>
      <c r="BL359" s="2"/>
      <c r="BM359" s="15"/>
      <c r="BN359" s="21"/>
      <c r="BO359" s="16"/>
      <c r="BP359" s="16"/>
      <c r="BQ359" s="16"/>
      <c r="BR359" s="16"/>
      <c r="BS359" s="16"/>
      <c r="BT359" s="16"/>
      <c r="BU359" s="8"/>
      <c r="BV359" s="8"/>
      <c r="BW359" s="8"/>
      <c r="BX359" s="8"/>
    </row>
    <row r="360" spans="1:76">
      <c r="A360" s="8" t="s">
        <v>19</v>
      </c>
      <c r="B360" s="8">
        <v>564</v>
      </c>
      <c r="C360" s="8" t="s">
        <v>19</v>
      </c>
      <c r="D360" s="8">
        <v>340</v>
      </c>
      <c r="E360" s="8" t="s">
        <v>20</v>
      </c>
      <c r="F360" s="8">
        <v>900</v>
      </c>
      <c r="G360" s="8" t="s">
        <v>21</v>
      </c>
      <c r="H360" s="8">
        <v>5046</v>
      </c>
      <c r="I360" s="8">
        <v>-1.12466393221948e-5</v>
      </c>
      <c r="J360" s="8">
        <v>-1.02817646615235e-5</v>
      </c>
      <c r="K360" s="8">
        <v>1.9404620182839</v>
      </c>
      <c r="L360" s="26"/>
      <c r="M360" s="10">
        <f t="shared" si="28"/>
        <v>856.855</v>
      </c>
      <c r="N360" s="18">
        <f t="shared" si="29"/>
        <v>292.855</v>
      </c>
      <c r="BA360" s="16"/>
      <c r="BB360" s="16"/>
      <c r="BC360" s="16"/>
      <c r="BD360" s="16"/>
      <c r="BE360" s="16"/>
      <c r="BF360" s="16"/>
      <c r="BG360" s="16"/>
      <c r="BH360" s="16"/>
      <c r="BI360" s="16"/>
      <c r="BJ360" s="16"/>
      <c r="BK360" s="16"/>
      <c r="BL360" s="2"/>
      <c r="BM360" s="15"/>
      <c r="BN360" s="21"/>
      <c r="BO360" s="16"/>
      <c r="BP360" s="16"/>
      <c r="BQ360" s="16"/>
      <c r="BR360" s="16"/>
      <c r="BS360" s="16"/>
      <c r="BT360" s="16"/>
      <c r="BU360" s="8"/>
      <c r="BV360" s="8"/>
      <c r="BW360" s="8"/>
      <c r="BX360" s="8"/>
    </row>
    <row r="361" spans="1:76">
      <c r="A361" s="8" t="s">
        <v>19</v>
      </c>
      <c r="B361" s="8">
        <v>564</v>
      </c>
      <c r="C361" s="8" t="s">
        <v>19</v>
      </c>
      <c r="D361" s="8">
        <v>340</v>
      </c>
      <c r="E361" s="8" t="s">
        <v>20</v>
      </c>
      <c r="F361" s="8">
        <v>961</v>
      </c>
      <c r="G361" s="8" t="s">
        <v>21</v>
      </c>
      <c r="H361" s="8">
        <v>5400</v>
      </c>
      <c r="I361" s="8">
        <v>-9.52014010404688e-6</v>
      </c>
      <c r="J361" s="8">
        <v>-8.69654166797447e-6</v>
      </c>
      <c r="K361" s="8">
        <v>1.90604708702682</v>
      </c>
      <c r="L361" s="26"/>
      <c r="M361" s="10">
        <f t="shared" si="28"/>
        <v>915.795</v>
      </c>
      <c r="N361" s="18">
        <f t="shared" si="29"/>
        <v>351.795</v>
      </c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  <c r="AX361" s="16"/>
      <c r="AY361" s="2"/>
      <c r="AZ361" s="2"/>
      <c r="BA361" s="16"/>
      <c r="BB361" s="16"/>
      <c r="BC361" s="16"/>
      <c r="BD361" s="16"/>
      <c r="BE361" s="16"/>
      <c r="BF361" s="16"/>
      <c r="BG361" s="16"/>
      <c r="BH361" s="16"/>
      <c r="BI361" s="16"/>
      <c r="BJ361" s="16"/>
      <c r="BK361" s="16"/>
      <c r="BL361" s="2"/>
      <c r="BM361" s="15"/>
      <c r="BN361" s="21"/>
      <c r="BO361" s="16"/>
      <c r="BP361" s="16"/>
      <c r="BQ361" s="16"/>
      <c r="BR361" s="16"/>
      <c r="BS361" s="16"/>
      <c r="BT361" s="16"/>
      <c r="BU361" s="8"/>
      <c r="BV361" s="8"/>
      <c r="BW361" s="8"/>
      <c r="BX361" s="8"/>
    </row>
    <row r="362" spans="1:76">
      <c r="A362" s="8" t="s">
        <v>19</v>
      </c>
      <c r="B362" s="8">
        <v>564</v>
      </c>
      <c r="C362" s="8" t="s">
        <v>19</v>
      </c>
      <c r="D362" s="8">
        <v>340</v>
      </c>
      <c r="E362" s="8" t="s">
        <v>20</v>
      </c>
      <c r="F362" s="8">
        <v>1024</v>
      </c>
      <c r="G362" s="8" t="s">
        <v>21</v>
      </c>
      <c r="H362" s="8">
        <v>5766</v>
      </c>
      <c r="I362" s="8">
        <v>-5.82289980243867e-6</v>
      </c>
      <c r="J362" s="8">
        <v>-5.45214332170479e-6</v>
      </c>
      <c r="K362" s="8">
        <v>1.81066720265236</v>
      </c>
      <c r="L362" s="26"/>
      <c r="M362" s="10">
        <f t="shared" si="28"/>
        <v>976.695</v>
      </c>
      <c r="N362" s="18">
        <f t="shared" si="29"/>
        <v>412.695</v>
      </c>
      <c r="AN362" s="16"/>
      <c r="AO362" s="16"/>
      <c r="AP362" s="16"/>
      <c r="AQ362" s="16"/>
      <c r="AR362" s="16"/>
      <c r="AS362" s="16"/>
      <c r="AT362" s="16"/>
      <c r="AU362" s="16"/>
      <c r="AV362" s="16"/>
      <c r="AW362" s="16"/>
      <c r="AX362" s="16"/>
      <c r="AY362" s="2"/>
      <c r="AZ362" s="2"/>
      <c r="BA362" s="16"/>
      <c r="BB362" s="16"/>
      <c r="BC362" s="16"/>
      <c r="BD362" s="16"/>
      <c r="BE362" s="16"/>
      <c r="BF362" s="16"/>
      <c r="BG362" s="16"/>
      <c r="BH362" s="16"/>
      <c r="BI362" s="16"/>
      <c r="BJ362" s="16"/>
      <c r="BK362" s="16"/>
      <c r="BL362" s="2"/>
      <c r="BM362" s="15"/>
      <c r="BN362" s="21"/>
      <c r="BO362" s="16"/>
      <c r="BP362" s="16"/>
      <c r="BQ362" s="16"/>
      <c r="BR362" s="16"/>
      <c r="BS362" s="16"/>
      <c r="BT362" s="16"/>
      <c r="BU362" s="8"/>
      <c r="BV362" s="8"/>
      <c r="BW362" s="8"/>
      <c r="BX362" s="8"/>
    </row>
    <row r="363" spans="1:76">
      <c r="A363" s="8" t="s">
        <v>19</v>
      </c>
      <c r="B363" s="8">
        <v>564</v>
      </c>
      <c r="C363" s="8" t="s">
        <v>19</v>
      </c>
      <c r="D363" s="8">
        <v>340</v>
      </c>
      <c r="E363" s="8" t="s">
        <v>20</v>
      </c>
      <c r="F363" s="8">
        <v>1089</v>
      </c>
      <c r="G363" s="8" t="s">
        <v>21</v>
      </c>
      <c r="H363" s="8">
        <v>6144</v>
      </c>
      <c r="I363" s="8">
        <v>-5.26232967314113e-6</v>
      </c>
      <c r="J363" s="8">
        <v>-4.89497037168399e-6</v>
      </c>
      <c r="K363" s="8">
        <v>1.78430542048659</v>
      </c>
      <c r="L363" s="26"/>
      <c r="M363" s="10">
        <f t="shared" si="28"/>
        <v>1039.555</v>
      </c>
      <c r="N363" s="18">
        <f t="shared" si="29"/>
        <v>475.555</v>
      </c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  <c r="AX363" s="16"/>
      <c r="AY363" s="2"/>
      <c r="AZ363" s="2"/>
      <c r="BA363" s="16"/>
      <c r="BB363" s="16"/>
      <c r="BC363" s="16"/>
      <c r="BD363" s="16"/>
      <c r="BE363" s="16"/>
      <c r="BF363" s="16"/>
      <c r="BG363" s="16"/>
      <c r="BH363" s="16"/>
      <c r="BI363" s="16"/>
      <c r="BJ363" s="16"/>
      <c r="BK363" s="16"/>
      <c r="BL363" s="2"/>
      <c r="BM363" s="15"/>
      <c r="BN363" s="21"/>
      <c r="BO363" s="16"/>
      <c r="BP363" s="16"/>
      <c r="BQ363" s="16"/>
      <c r="BR363" s="16"/>
      <c r="BS363" s="16"/>
      <c r="BT363" s="16"/>
      <c r="BU363" s="8"/>
      <c r="BV363" s="8"/>
      <c r="BW363" s="8"/>
      <c r="BX363" s="8"/>
    </row>
    <row r="364" ht="23.25" spans="1:76">
      <c r="A364" s="7" t="s">
        <v>36</v>
      </c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26"/>
      <c r="M364" s="10"/>
      <c r="N364" s="18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16"/>
      <c r="AO364" s="16"/>
      <c r="AP364" s="16"/>
      <c r="AQ364" s="16"/>
      <c r="AR364" s="16"/>
      <c r="AS364" s="16"/>
      <c r="AT364" s="16"/>
      <c r="AU364" s="16"/>
      <c r="AV364" s="16"/>
      <c r="AW364" s="16"/>
      <c r="AX364" s="16"/>
      <c r="AY364" s="2"/>
      <c r="AZ364" s="2"/>
      <c r="BA364" s="20"/>
      <c r="BB364" s="20"/>
      <c r="BC364" s="20"/>
      <c r="BD364" s="20"/>
      <c r="BE364" s="20"/>
      <c r="BF364" s="20"/>
      <c r="BG364" s="20"/>
      <c r="BH364" s="20"/>
      <c r="BI364" s="20"/>
      <c r="BJ364" s="20"/>
      <c r="BK364" s="20"/>
      <c r="BL364" s="2"/>
      <c r="BM364" s="15"/>
      <c r="BN364" s="21"/>
      <c r="BO364" s="16"/>
      <c r="BP364" s="16"/>
      <c r="BQ364" s="16"/>
      <c r="BR364" s="16"/>
      <c r="BS364" s="16"/>
      <c r="BT364" s="16"/>
      <c r="BU364" s="8"/>
      <c r="BV364" s="8"/>
      <c r="BW364" s="8"/>
      <c r="BX364" s="8"/>
    </row>
    <row r="365" ht="23.25" spans="1:76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26"/>
      <c r="M365" s="10"/>
      <c r="N365" s="18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  <c r="AX365" s="16"/>
      <c r="AY365" s="2"/>
      <c r="AZ365" s="2"/>
      <c r="BA365" s="20"/>
      <c r="BB365" s="20"/>
      <c r="BC365" s="20"/>
      <c r="BD365" s="20"/>
      <c r="BE365" s="20"/>
      <c r="BF365" s="20"/>
      <c r="BG365" s="20"/>
      <c r="BH365" s="20"/>
      <c r="BI365" s="20"/>
      <c r="BJ365" s="20"/>
      <c r="BK365" s="20"/>
      <c r="BL365" s="2"/>
      <c r="BM365" s="15"/>
      <c r="BN365" s="21"/>
      <c r="BO365" s="14"/>
      <c r="BP365" s="14"/>
      <c r="BQ365" s="14"/>
      <c r="BR365" s="14"/>
      <c r="BS365" s="14"/>
      <c r="BT365" s="14"/>
      <c r="BU365" s="24"/>
      <c r="BV365" s="24"/>
      <c r="BW365" s="24"/>
      <c r="BX365" s="24"/>
    </row>
    <row r="366" ht="23.25" spans="1:76">
      <c r="A366" s="8" t="s">
        <v>7</v>
      </c>
      <c r="B366" s="8" t="s">
        <v>8</v>
      </c>
      <c r="C366" s="8" t="s">
        <v>9</v>
      </c>
      <c r="D366" s="8" t="s">
        <v>10</v>
      </c>
      <c r="E366" s="8" t="s">
        <v>11</v>
      </c>
      <c r="F366" s="8" t="s">
        <v>12</v>
      </c>
      <c r="G366" s="8" t="s">
        <v>13</v>
      </c>
      <c r="H366" s="8" t="s">
        <v>14</v>
      </c>
      <c r="I366" s="8" t="s">
        <v>15</v>
      </c>
      <c r="J366" s="8" t="s">
        <v>16</v>
      </c>
      <c r="K366" s="8" t="s">
        <v>17</v>
      </c>
      <c r="L366" s="26"/>
      <c r="M366" s="10"/>
      <c r="N366" s="18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  <c r="AX366" s="16"/>
      <c r="AY366" s="2"/>
      <c r="AZ366" s="2"/>
      <c r="BA366" s="16"/>
      <c r="BB366" s="16"/>
      <c r="BC366" s="16"/>
      <c r="BD366" s="16"/>
      <c r="BE366" s="16"/>
      <c r="BF366" s="16"/>
      <c r="BG366" s="16"/>
      <c r="BH366" s="16"/>
      <c r="BI366" s="16"/>
      <c r="BJ366" s="16"/>
      <c r="BK366" s="16"/>
      <c r="BL366" s="2"/>
      <c r="BM366" s="15"/>
      <c r="BN366" s="21"/>
      <c r="BO366" s="14"/>
      <c r="BP366" s="14"/>
      <c r="BQ366" s="14"/>
      <c r="BR366" s="14"/>
      <c r="BS366" s="14"/>
      <c r="BT366" s="14"/>
      <c r="BU366" s="24"/>
      <c r="BV366" s="24"/>
      <c r="BW366" s="24"/>
      <c r="BX366" s="24"/>
    </row>
    <row r="367" spans="1:76">
      <c r="A367" s="8" t="s">
        <v>19</v>
      </c>
      <c r="B367" s="8">
        <v>598</v>
      </c>
      <c r="C367" s="8" t="s">
        <v>19</v>
      </c>
      <c r="D367" s="8">
        <v>340</v>
      </c>
      <c r="E367" s="8" t="s">
        <v>20</v>
      </c>
      <c r="F367" s="8">
        <v>484</v>
      </c>
      <c r="G367" s="8" t="s">
        <v>21</v>
      </c>
      <c r="H367" s="8">
        <v>2646</v>
      </c>
      <c r="I367" s="8">
        <v>-2.24304341438778</v>
      </c>
      <c r="J367" s="8">
        <v>-1.84508300072904</v>
      </c>
      <c r="K367" s="8">
        <v>0.44471366810797</v>
      </c>
      <c r="L367" s="26"/>
      <c r="M367" s="10">
        <f t="shared" ref="M367:M378" si="30">(FLOOR(((SQRT(1+8*F367)-3))/2,0.1)*(FLOOR(((SQRT(1+8*F367)-3))/2,0.1)+1))/2</f>
        <v>452.88</v>
      </c>
      <c r="N367" s="18">
        <f t="shared" ref="N367:N378" si="31">ABS(B367-M367)</f>
        <v>145.12</v>
      </c>
      <c r="AN367" s="16"/>
      <c r="AO367" s="16"/>
      <c r="AP367" s="16"/>
      <c r="AQ367" s="16"/>
      <c r="AR367" s="16"/>
      <c r="AS367" s="16"/>
      <c r="AT367" s="16"/>
      <c r="AU367" s="16"/>
      <c r="AV367" s="16"/>
      <c r="AW367" s="16"/>
      <c r="AX367" s="16"/>
      <c r="AY367" s="2"/>
      <c r="AZ367" s="2"/>
      <c r="BA367" s="16"/>
      <c r="BB367" s="16"/>
      <c r="BC367" s="16"/>
      <c r="BD367" s="16"/>
      <c r="BE367" s="16"/>
      <c r="BF367" s="16"/>
      <c r="BG367" s="16"/>
      <c r="BH367" s="16"/>
      <c r="BI367" s="16"/>
      <c r="BJ367" s="16"/>
      <c r="BK367" s="16"/>
      <c r="BL367" s="2"/>
      <c r="BM367" s="15"/>
      <c r="BN367" s="21"/>
      <c r="BO367" s="15"/>
      <c r="BP367" s="15"/>
      <c r="BQ367" s="15"/>
      <c r="BR367" s="15"/>
      <c r="BS367" s="15"/>
      <c r="BT367" s="15"/>
      <c r="BU367" s="10"/>
      <c r="BV367" s="10"/>
      <c r="BW367" s="10"/>
      <c r="BX367" s="10"/>
    </row>
    <row r="368" spans="1:76">
      <c r="A368" s="8" t="s">
        <v>19</v>
      </c>
      <c r="B368" s="8">
        <v>598</v>
      </c>
      <c r="C368" s="8" t="s">
        <v>19</v>
      </c>
      <c r="D368" s="8">
        <v>340</v>
      </c>
      <c r="E368" s="8" t="s">
        <v>20</v>
      </c>
      <c r="F368" s="8">
        <v>529</v>
      </c>
      <c r="G368" s="8" t="s">
        <v>21</v>
      </c>
      <c r="H368" s="8">
        <v>2904</v>
      </c>
      <c r="I368" s="8">
        <v>-1.99147702878624</v>
      </c>
      <c r="J368" s="8">
        <v>-1.59309596547617</v>
      </c>
      <c r="K368" s="8">
        <v>0.924334631278712</v>
      </c>
      <c r="L368" s="26"/>
      <c r="M368" s="10">
        <f t="shared" si="30"/>
        <v>496</v>
      </c>
      <c r="N368" s="18">
        <f t="shared" si="31"/>
        <v>102</v>
      </c>
      <c r="AN368" s="16"/>
      <c r="AO368" s="16"/>
      <c r="AP368" s="16"/>
      <c r="AQ368" s="16"/>
      <c r="AR368" s="16"/>
      <c r="AS368" s="16"/>
      <c r="AT368" s="16"/>
      <c r="AU368" s="16"/>
      <c r="AV368" s="16"/>
      <c r="AW368" s="16"/>
      <c r="AX368" s="16"/>
      <c r="AY368" s="2"/>
      <c r="AZ368" s="2"/>
      <c r="BA368" s="16"/>
      <c r="BB368" s="16"/>
      <c r="BC368" s="16"/>
      <c r="BD368" s="16"/>
      <c r="BE368" s="16"/>
      <c r="BF368" s="16"/>
      <c r="BG368" s="16"/>
      <c r="BH368" s="16"/>
      <c r="BI368" s="16"/>
      <c r="BJ368" s="16"/>
      <c r="BK368" s="16"/>
      <c r="BL368" s="2"/>
      <c r="BM368" s="15"/>
      <c r="BN368" s="21"/>
      <c r="BO368" s="16"/>
      <c r="BP368" s="16"/>
      <c r="BQ368" s="16"/>
      <c r="BR368" s="16"/>
      <c r="BS368" s="16"/>
      <c r="BT368" s="16"/>
      <c r="BU368" s="8"/>
      <c r="BV368" s="8"/>
      <c r="BW368" s="8"/>
      <c r="BX368" s="8"/>
    </row>
    <row r="369" spans="1:76">
      <c r="A369" s="8" t="s">
        <v>19</v>
      </c>
      <c r="B369" s="8">
        <v>598</v>
      </c>
      <c r="C369" s="8" t="s">
        <v>19</v>
      </c>
      <c r="D369" s="8">
        <v>340</v>
      </c>
      <c r="E369" s="8" t="s">
        <v>20</v>
      </c>
      <c r="F369" s="8">
        <v>576</v>
      </c>
      <c r="G369" s="8" t="s">
        <v>21</v>
      </c>
      <c r="H369" s="8">
        <v>3174</v>
      </c>
      <c r="I369" s="8">
        <v>-0.810939196802888</v>
      </c>
      <c r="J369" s="8">
        <v>-0.721502303120621</v>
      </c>
      <c r="K369" s="8">
        <v>1.88048732503231</v>
      </c>
      <c r="L369" s="26"/>
      <c r="M369" s="10">
        <f t="shared" si="30"/>
        <v>541.08</v>
      </c>
      <c r="N369" s="18">
        <f t="shared" si="31"/>
        <v>56.9200000000001</v>
      </c>
      <c r="AN369" s="16"/>
      <c r="AO369" s="16"/>
      <c r="AP369" s="16"/>
      <c r="AQ369" s="16"/>
      <c r="AR369" s="16"/>
      <c r="AS369" s="16"/>
      <c r="AT369" s="16"/>
      <c r="AU369" s="16"/>
      <c r="AV369" s="16"/>
      <c r="AW369" s="16"/>
      <c r="AX369" s="16"/>
      <c r="AY369" s="2"/>
      <c r="AZ369" s="2"/>
      <c r="BA369" s="16"/>
      <c r="BB369" s="16"/>
      <c r="BC369" s="16"/>
      <c r="BD369" s="16"/>
      <c r="BE369" s="16"/>
      <c r="BF369" s="16"/>
      <c r="BG369" s="16"/>
      <c r="BH369" s="16"/>
      <c r="BI369" s="16"/>
      <c r="BJ369" s="16"/>
      <c r="BK369" s="16"/>
      <c r="BL369" s="2"/>
      <c r="BM369" s="15"/>
      <c r="BN369" s="21"/>
      <c r="BO369" s="16"/>
      <c r="BP369" s="16"/>
      <c r="BQ369" s="16"/>
      <c r="BR369" s="16"/>
      <c r="BS369" s="16"/>
      <c r="BT369" s="16"/>
      <c r="BU369" s="8"/>
      <c r="BV369" s="8"/>
      <c r="BW369" s="8"/>
      <c r="BX369" s="8"/>
    </row>
    <row r="370" spans="1:76">
      <c r="A370" s="9" t="s">
        <v>19</v>
      </c>
      <c r="B370" s="9">
        <v>598</v>
      </c>
      <c r="C370" s="9" t="s">
        <v>19</v>
      </c>
      <c r="D370" s="9">
        <v>340</v>
      </c>
      <c r="E370" s="9" t="s">
        <v>20</v>
      </c>
      <c r="F370" s="9">
        <v>625</v>
      </c>
      <c r="G370" s="9" t="s">
        <v>21</v>
      </c>
      <c r="H370" s="9">
        <v>3456</v>
      </c>
      <c r="I370" s="9">
        <v>-0.126169193965315</v>
      </c>
      <c r="J370" s="9">
        <v>-0.115729626406444</v>
      </c>
      <c r="K370" s="9">
        <v>2.89327431446408</v>
      </c>
      <c r="L370" s="27"/>
      <c r="M370" s="11">
        <f t="shared" si="30"/>
        <v>588.12</v>
      </c>
      <c r="N370" s="18">
        <f t="shared" si="31"/>
        <v>9.87999999999988</v>
      </c>
      <c r="AN370" s="16"/>
      <c r="AO370" s="16"/>
      <c r="AP370" s="16"/>
      <c r="AQ370" s="16"/>
      <c r="AR370" s="16"/>
      <c r="AS370" s="16"/>
      <c r="AT370" s="16"/>
      <c r="AU370" s="16"/>
      <c r="AV370" s="16"/>
      <c r="AW370" s="16"/>
      <c r="AX370" s="16"/>
      <c r="AY370" s="2"/>
      <c r="AZ370" s="2"/>
      <c r="BA370" s="21"/>
      <c r="BB370" s="21"/>
      <c r="BC370" s="21"/>
      <c r="BD370" s="21"/>
      <c r="BE370" s="21"/>
      <c r="BF370" s="21"/>
      <c r="BG370" s="21"/>
      <c r="BH370" s="21"/>
      <c r="BI370" s="21"/>
      <c r="BJ370" s="21"/>
      <c r="BK370" s="21"/>
      <c r="BL370" s="28"/>
      <c r="BM370" s="22"/>
      <c r="BN370" s="21"/>
      <c r="BO370" s="16"/>
      <c r="BP370" s="16"/>
      <c r="BQ370" s="16"/>
      <c r="BR370" s="16"/>
      <c r="BS370" s="16"/>
      <c r="BT370" s="16"/>
      <c r="BU370" s="8"/>
      <c r="BV370" s="8"/>
      <c r="BW370" s="8"/>
      <c r="BX370" s="8"/>
    </row>
    <row r="371" spans="1:76">
      <c r="A371" s="8" t="s">
        <v>19</v>
      </c>
      <c r="B371" s="8">
        <v>598</v>
      </c>
      <c r="C371" s="8" t="s">
        <v>19</v>
      </c>
      <c r="D371" s="8">
        <v>340</v>
      </c>
      <c r="E371" s="8" t="s">
        <v>20</v>
      </c>
      <c r="F371" s="8">
        <v>676</v>
      </c>
      <c r="G371" s="8" t="s">
        <v>21</v>
      </c>
      <c r="H371" s="8">
        <v>3750</v>
      </c>
      <c r="I371" s="8">
        <v>-0.000127475383169185</v>
      </c>
      <c r="J371" s="8">
        <v>-0.000158826246781104</v>
      </c>
      <c r="K371" s="8">
        <v>2.59871259656187</v>
      </c>
      <c r="L371" s="26"/>
      <c r="M371" s="10">
        <f t="shared" si="30"/>
        <v>637.12</v>
      </c>
      <c r="N371" s="18">
        <f t="shared" si="31"/>
        <v>39.1200000000001</v>
      </c>
      <c r="AN371" s="16"/>
      <c r="AO371" s="16"/>
      <c r="AP371" s="16"/>
      <c r="AQ371" s="16"/>
      <c r="AR371" s="16"/>
      <c r="AS371" s="16"/>
      <c r="AT371" s="16"/>
      <c r="AU371" s="16"/>
      <c r="AV371" s="16"/>
      <c r="AW371" s="16"/>
      <c r="AX371" s="16"/>
      <c r="AY371" s="2"/>
      <c r="AZ371" s="2"/>
      <c r="BA371" s="16"/>
      <c r="BB371" s="16"/>
      <c r="BC371" s="16"/>
      <c r="BD371" s="16"/>
      <c r="BE371" s="16"/>
      <c r="BF371" s="16"/>
      <c r="BG371" s="16"/>
      <c r="BH371" s="16"/>
      <c r="BI371" s="16"/>
      <c r="BJ371" s="16"/>
      <c r="BK371" s="16"/>
      <c r="BL371" s="2"/>
      <c r="BM371" s="15"/>
      <c r="BN371" s="21"/>
      <c r="BO371" s="16"/>
      <c r="BP371" s="16"/>
      <c r="BQ371" s="16"/>
      <c r="BR371" s="16"/>
      <c r="BS371" s="16"/>
      <c r="BT371" s="16"/>
      <c r="BU371" s="8"/>
      <c r="BV371" s="8"/>
      <c r="BW371" s="8"/>
      <c r="BX371" s="8"/>
    </row>
    <row r="372" spans="1:76">
      <c r="A372" s="8" t="s">
        <v>19</v>
      </c>
      <c r="B372" s="8">
        <v>598</v>
      </c>
      <c r="C372" s="8" t="s">
        <v>19</v>
      </c>
      <c r="D372" s="8">
        <v>340</v>
      </c>
      <c r="E372" s="8" t="s">
        <v>20</v>
      </c>
      <c r="F372" s="8">
        <v>729</v>
      </c>
      <c r="G372" s="8" t="s">
        <v>21</v>
      </c>
      <c r="H372" s="8">
        <v>4056</v>
      </c>
      <c r="I372" s="8">
        <v>-6.58607982923482e-5</v>
      </c>
      <c r="J372" s="8">
        <v>-6.50615931096624e-5</v>
      </c>
      <c r="K372" s="8">
        <v>2.36006718699346</v>
      </c>
      <c r="L372" s="26"/>
      <c r="M372" s="10">
        <f t="shared" si="30"/>
        <v>688.08</v>
      </c>
      <c r="N372" s="18">
        <f t="shared" si="31"/>
        <v>90.08</v>
      </c>
      <c r="AN372" s="16"/>
      <c r="AO372" s="16"/>
      <c r="AP372" s="16"/>
      <c r="AQ372" s="16"/>
      <c r="AR372" s="16"/>
      <c r="AS372" s="16"/>
      <c r="AT372" s="16"/>
      <c r="AU372" s="16"/>
      <c r="AV372" s="16"/>
      <c r="AW372" s="16"/>
      <c r="AX372" s="16"/>
      <c r="AY372" s="2"/>
      <c r="AZ372" s="2"/>
      <c r="BA372" s="16"/>
      <c r="BB372" s="16"/>
      <c r="BC372" s="16"/>
      <c r="BD372" s="16"/>
      <c r="BE372" s="16"/>
      <c r="BF372" s="16"/>
      <c r="BG372" s="16"/>
      <c r="BH372" s="16"/>
      <c r="BI372" s="16"/>
      <c r="BJ372" s="16"/>
      <c r="BK372" s="16"/>
      <c r="BL372" s="2"/>
      <c r="BM372" s="15"/>
      <c r="BN372" s="21"/>
      <c r="BO372" s="16"/>
      <c r="BP372" s="16"/>
      <c r="BQ372" s="16"/>
      <c r="BR372" s="16"/>
      <c r="BS372" s="16"/>
      <c r="BT372" s="16"/>
      <c r="BU372" s="8"/>
      <c r="BV372" s="8"/>
      <c r="BW372" s="8"/>
      <c r="BX372" s="8"/>
    </row>
    <row r="373" spans="1:76">
      <c r="A373" s="8" t="s">
        <v>19</v>
      </c>
      <c r="B373" s="8">
        <v>598</v>
      </c>
      <c r="C373" s="8" t="s">
        <v>19</v>
      </c>
      <c r="D373" s="8">
        <v>340</v>
      </c>
      <c r="E373" s="8" t="s">
        <v>20</v>
      </c>
      <c r="F373" s="8">
        <v>784</v>
      </c>
      <c r="G373" s="8" t="s">
        <v>21</v>
      </c>
      <c r="H373" s="8">
        <v>4374</v>
      </c>
      <c r="I373" s="8">
        <v>-2.38867500480166e-5</v>
      </c>
      <c r="J373" s="8">
        <v>-2.41040514809696e-5</v>
      </c>
      <c r="K373" s="8">
        <v>2.15458350299147</v>
      </c>
      <c r="L373" s="26"/>
      <c r="M373" s="10">
        <f t="shared" si="30"/>
        <v>744.855</v>
      </c>
      <c r="N373" s="18">
        <f t="shared" si="31"/>
        <v>146.855</v>
      </c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  <c r="AX373" s="16"/>
      <c r="AY373" s="2"/>
      <c r="AZ373" s="2"/>
      <c r="BA373" s="16"/>
      <c r="BB373" s="16"/>
      <c r="BC373" s="16"/>
      <c r="BD373" s="16"/>
      <c r="BE373" s="16"/>
      <c r="BF373" s="16"/>
      <c r="BG373" s="16"/>
      <c r="BH373" s="16"/>
      <c r="BI373" s="16"/>
      <c r="BJ373" s="16"/>
      <c r="BK373" s="16"/>
      <c r="BL373" s="2"/>
      <c r="BM373" s="15"/>
      <c r="BN373" s="21"/>
      <c r="BO373" s="16"/>
      <c r="BP373" s="16"/>
      <c r="BQ373" s="16"/>
      <c r="BR373" s="16"/>
      <c r="BS373" s="16"/>
      <c r="BT373" s="16"/>
      <c r="BU373" s="8"/>
      <c r="BV373" s="8"/>
      <c r="BW373" s="8"/>
      <c r="BX373" s="8"/>
    </row>
    <row r="374" spans="1:76">
      <c r="A374" s="8" t="s">
        <v>19</v>
      </c>
      <c r="B374" s="8">
        <v>598</v>
      </c>
      <c r="C374" s="8" t="s">
        <v>19</v>
      </c>
      <c r="D374" s="8">
        <v>340</v>
      </c>
      <c r="E374" s="8" t="s">
        <v>20</v>
      </c>
      <c r="F374" s="8">
        <v>841</v>
      </c>
      <c r="G374" s="8" t="s">
        <v>21</v>
      </c>
      <c r="H374" s="8">
        <v>4704</v>
      </c>
      <c r="I374" s="8">
        <v>-1.8534965776223e-5</v>
      </c>
      <c r="J374" s="8">
        <v>-1.86987959327172e-5</v>
      </c>
      <c r="K374" s="8">
        <v>2.098662154983</v>
      </c>
      <c r="L374" s="26"/>
      <c r="M374" s="10">
        <f t="shared" si="30"/>
        <v>799.875</v>
      </c>
      <c r="N374" s="18">
        <f t="shared" si="31"/>
        <v>201.875</v>
      </c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  <c r="AX374" s="16"/>
      <c r="AY374" s="2"/>
      <c r="AZ374" s="2"/>
      <c r="BA374" s="16"/>
      <c r="BB374" s="16"/>
      <c r="BC374" s="16"/>
      <c r="BD374" s="16"/>
      <c r="BE374" s="16"/>
      <c r="BF374" s="16"/>
      <c r="BG374" s="16"/>
      <c r="BH374" s="16"/>
      <c r="BI374" s="16"/>
      <c r="BJ374" s="16"/>
      <c r="BK374" s="16"/>
      <c r="BL374" s="2"/>
      <c r="BM374" s="15"/>
      <c r="BN374" s="21"/>
      <c r="BO374" s="16"/>
      <c r="BP374" s="16"/>
      <c r="BQ374" s="16"/>
      <c r="BR374" s="16"/>
      <c r="BS374" s="16"/>
      <c r="BT374" s="16"/>
      <c r="BU374" s="8"/>
      <c r="BV374" s="8"/>
      <c r="BW374" s="8"/>
      <c r="BX374" s="8"/>
    </row>
    <row r="375" ht="23.25" spans="1:76">
      <c r="A375" s="8" t="s">
        <v>19</v>
      </c>
      <c r="B375" s="8">
        <v>598</v>
      </c>
      <c r="C375" s="8" t="s">
        <v>19</v>
      </c>
      <c r="D375" s="8">
        <v>340</v>
      </c>
      <c r="E375" s="8" t="s">
        <v>20</v>
      </c>
      <c r="F375" s="8">
        <v>900</v>
      </c>
      <c r="G375" s="8" t="s">
        <v>21</v>
      </c>
      <c r="H375" s="8">
        <v>5046</v>
      </c>
      <c r="I375" s="8">
        <v>-1.18202843751873e-5</v>
      </c>
      <c r="J375" s="8">
        <v>-1.17937362430753e-5</v>
      </c>
      <c r="K375" s="8">
        <v>1.99279668358678</v>
      </c>
      <c r="L375" s="26"/>
      <c r="M375" s="10">
        <f t="shared" si="30"/>
        <v>856.855</v>
      </c>
      <c r="N375" s="18">
        <f t="shared" si="31"/>
        <v>258.855</v>
      </c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  <c r="AY375" s="2"/>
      <c r="AZ375" s="2"/>
      <c r="BA375" s="16"/>
      <c r="BB375" s="16"/>
      <c r="BC375" s="16"/>
      <c r="BD375" s="16"/>
      <c r="BE375" s="16"/>
      <c r="BF375" s="16"/>
      <c r="BG375" s="16"/>
      <c r="BH375" s="16"/>
      <c r="BI375" s="16"/>
      <c r="BJ375" s="16"/>
      <c r="BK375" s="16"/>
      <c r="BL375" s="2"/>
      <c r="BM375" s="15"/>
      <c r="BN375" s="21"/>
      <c r="BO375" s="16"/>
      <c r="BP375" s="16"/>
      <c r="BQ375" s="16"/>
      <c r="BR375" s="16"/>
      <c r="BS375" s="16"/>
      <c r="BT375" s="16"/>
      <c r="BU375" s="8"/>
      <c r="BV375" s="8"/>
      <c r="BW375" s="8"/>
      <c r="BX375" s="8"/>
    </row>
    <row r="376" ht="23.25" spans="1:76">
      <c r="A376" s="8" t="s">
        <v>19</v>
      </c>
      <c r="B376" s="8">
        <v>598</v>
      </c>
      <c r="C376" s="8" t="s">
        <v>19</v>
      </c>
      <c r="D376" s="8">
        <v>340</v>
      </c>
      <c r="E376" s="8" t="s">
        <v>20</v>
      </c>
      <c r="F376" s="8">
        <v>961</v>
      </c>
      <c r="G376" s="8" t="s">
        <v>21</v>
      </c>
      <c r="H376" s="8">
        <v>5400</v>
      </c>
      <c r="I376" s="8">
        <v>-9.4364126659429e-6</v>
      </c>
      <c r="J376" s="8">
        <v>-9.50501467855234e-6</v>
      </c>
      <c r="K376" s="8">
        <v>1.94724989621593</v>
      </c>
      <c r="L376" s="26"/>
      <c r="M376" s="10">
        <f t="shared" si="30"/>
        <v>915.795</v>
      </c>
      <c r="N376" s="18">
        <f t="shared" si="31"/>
        <v>317.795</v>
      </c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  <c r="AX376" s="14"/>
      <c r="AY376" s="2"/>
      <c r="AZ376" s="2"/>
      <c r="BA376" s="16"/>
      <c r="BB376" s="16"/>
      <c r="BC376" s="16"/>
      <c r="BD376" s="16"/>
      <c r="BE376" s="16"/>
      <c r="BF376" s="16"/>
      <c r="BG376" s="16"/>
      <c r="BH376" s="16"/>
      <c r="BI376" s="16"/>
      <c r="BJ376" s="16"/>
      <c r="BK376" s="16"/>
      <c r="BL376" s="2"/>
      <c r="BM376" s="15"/>
      <c r="BN376" s="21"/>
      <c r="BO376" s="16"/>
      <c r="BP376" s="16"/>
      <c r="BQ376" s="16"/>
      <c r="BR376" s="16"/>
      <c r="BS376" s="16"/>
      <c r="BT376" s="16"/>
      <c r="BU376" s="8"/>
      <c r="BV376" s="8"/>
      <c r="BW376" s="8"/>
      <c r="BX376" s="8"/>
    </row>
    <row r="377" spans="1:76">
      <c r="A377" s="8" t="s">
        <v>19</v>
      </c>
      <c r="B377" s="8">
        <v>598</v>
      </c>
      <c r="C377" s="8" t="s">
        <v>19</v>
      </c>
      <c r="D377" s="8">
        <v>340</v>
      </c>
      <c r="E377" s="8" t="s">
        <v>20</v>
      </c>
      <c r="F377" s="8">
        <v>1024</v>
      </c>
      <c r="G377" s="8" t="s">
        <v>21</v>
      </c>
      <c r="H377" s="8">
        <v>5766</v>
      </c>
      <c r="I377" s="8">
        <v>-7.4499893801667e-6</v>
      </c>
      <c r="J377" s="8">
        <v>-7.57759211647438e-6</v>
      </c>
      <c r="K377" s="8">
        <v>1.89885289608936</v>
      </c>
      <c r="L377" s="26"/>
      <c r="M377" s="10">
        <f t="shared" si="30"/>
        <v>976.695</v>
      </c>
      <c r="N377" s="18">
        <f t="shared" si="31"/>
        <v>378.695</v>
      </c>
      <c r="BA377" s="16"/>
      <c r="BB377" s="16"/>
      <c r="BC377" s="16"/>
      <c r="BD377" s="16"/>
      <c r="BE377" s="16"/>
      <c r="BF377" s="16"/>
      <c r="BG377" s="16"/>
      <c r="BH377" s="16"/>
      <c r="BI377" s="16"/>
      <c r="BJ377" s="16"/>
      <c r="BK377" s="16"/>
      <c r="BL377" s="2"/>
      <c r="BM377" s="15"/>
      <c r="BN377" s="21"/>
      <c r="BO377" s="16"/>
      <c r="BP377" s="16"/>
      <c r="BQ377" s="16"/>
      <c r="BR377" s="16"/>
      <c r="BS377" s="16"/>
      <c r="BT377" s="16"/>
      <c r="BU377" s="8"/>
      <c r="BV377" s="8"/>
      <c r="BW377" s="8"/>
      <c r="BX377" s="8"/>
    </row>
    <row r="378" spans="1:76">
      <c r="A378" s="8" t="s">
        <v>19</v>
      </c>
      <c r="B378" s="8">
        <v>598</v>
      </c>
      <c r="C378" s="8" t="s">
        <v>19</v>
      </c>
      <c r="D378" s="8">
        <v>340</v>
      </c>
      <c r="E378" s="8" t="s">
        <v>20</v>
      </c>
      <c r="F378" s="8">
        <v>1089</v>
      </c>
      <c r="G378" s="8" t="s">
        <v>21</v>
      </c>
      <c r="H378" s="8">
        <v>6144</v>
      </c>
      <c r="I378" s="8">
        <v>-6.18096142704368e-6</v>
      </c>
      <c r="J378" s="8">
        <v>-6.1524443447011e-6</v>
      </c>
      <c r="K378" s="8">
        <v>1.84720379156537</v>
      </c>
      <c r="L378" s="26"/>
      <c r="M378" s="10">
        <f t="shared" si="30"/>
        <v>1039.555</v>
      </c>
      <c r="N378" s="18">
        <f t="shared" si="31"/>
        <v>441.555</v>
      </c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  <c r="AX378" s="16"/>
      <c r="AY378" s="2"/>
      <c r="AZ378" s="2"/>
      <c r="BA378" s="16"/>
      <c r="BB378" s="16"/>
      <c r="BC378" s="16"/>
      <c r="BD378" s="16"/>
      <c r="BE378" s="16"/>
      <c r="BF378" s="16"/>
      <c r="BG378" s="16"/>
      <c r="BH378" s="16"/>
      <c r="BI378" s="16"/>
      <c r="BJ378" s="16"/>
      <c r="BK378" s="16"/>
      <c r="BL378" s="2"/>
      <c r="BM378" s="15"/>
      <c r="BN378" s="21"/>
      <c r="BO378" s="16"/>
      <c r="BP378" s="16"/>
      <c r="BQ378" s="16"/>
      <c r="BR378" s="16"/>
      <c r="BS378" s="16"/>
      <c r="BT378" s="16"/>
      <c r="BU378" s="8"/>
      <c r="BV378" s="8"/>
      <c r="BW378" s="8"/>
      <c r="BX378" s="8"/>
    </row>
    <row r="379" ht="23.25" spans="1:76">
      <c r="A379" s="7" t="s">
        <v>37</v>
      </c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26"/>
      <c r="M379" s="10"/>
      <c r="N379" s="18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16"/>
      <c r="AO379" s="16"/>
      <c r="AP379" s="16"/>
      <c r="AQ379" s="16"/>
      <c r="AR379" s="16"/>
      <c r="AS379" s="16"/>
      <c r="AT379" s="16"/>
      <c r="AU379" s="16"/>
      <c r="AV379" s="16"/>
      <c r="AW379" s="16"/>
      <c r="AX379" s="16"/>
      <c r="AY379" s="2"/>
      <c r="AZ379" s="2"/>
      <c r="BA379" s="20"/>
      <c r="BB379" s="20"/>
      <c r="BC379" s="20"/>
      <c r="BD379" s="20"/>
      <c r="BE379" s="20"/>
      <c r="BF379" s="20"/>
      <c r="BG379" s="20"/>
      <c r="BH379" s="20"/>
      <c r="BI379" s="20"/>
      <c r="BJ379" s="20"/>
      <c r="BK379" s="20"/>
      <c r="BL379" s="2"/>
      <c r="BM379" s="15"/>
      <c r="BN379" s="21"/>
      <c r="BO379" s="16"/>
      <c r="BP379" s="16"/>
      <c r="BQ379" s="16"/>
      <c r="BR379" s="16"/>
      <c r="BS379" s="16"/>
      <c r="BT379" s="16"/>
      <c r="BU379" s="8"/>
      <c r="BV379" s="8"/>
      <c r="BW379" s="8"/>
      <c r="BX379" s="8"/>
    </row>
    <row r="380" ht="23.25" spans="1:76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26"/>
      <c r="M380" s="10"/>
      <c r="N380" s="18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  <c r="AX380" s="16"/>
      <c r="AY380" s="2"/>
      <c r="AZ380" s="2"/>
      <c r="BA380" s="20"/>
      <c r="BB380" s="20"/>
      <c r="BC380" s="20"/>
      <c r="BD380" s="20"/>
      <c r="BE380" s="20"/>
      <c r="BF380" s="20"/>
      <c r="BG380" s="20"/>
      <c r="BH380" s="20"/>
      <c r="BI380" s="20"/>
      <c r="BJ380" s="20"/>
      <c r="BK380" s="20"/>
      <c r="BL380" s="2"/>
      <c r="BM380" s="15"/>
      <c r="BN380" s="21"/>
      <c r="BO380" s="14"/>
      <c r="BP380" s="14"/>
      <c r="BQ380" s="14"/>
      <c r="BR380" s="14"/>
      <c r="BS380" s="14"/>
      <c r="BT380" s="14"/>
      <c r="BU380" s="24"/>
      <c r="BV380" s="24"/>
      <c r="BW380" s="24"/>
      <c r="BX380" s="24"/>
    </row>
    <row r="381" ht="23.25" spans="1:76">
      <c r="A381" s="8" t="s">
        <v>7</v>
      </c>
      <c r="B381" s="8" t="s">
        <v>8</v>
      </c>
      <c r="C381" s="8" t="s">
        <v>9</v>
      </c>
      <c r="D381" s="8" t="s">
        <v>10</v>
      </c>
      <c r="E381" s="8" t="s">
        <v>11</v>
      </c>
      <c r="F381" s="8" t="s">
        <v>12</v>
      </c>
      <c r="G381" s="8" t="s">
        <v>13</v>
      </c>
      <c r="H381" s="8" t="s">
        <v>14</v>
      </c>
      <c r="I381" s="8" t="s">
        <v>15</v>
      </c>
      <c r="J381" s="8" t="s">
        <v>16</v>
      </c>
      <c r="K381" s="8" t="s">
        <v>17</v>
      </c>
      <c r="L381" s="26"/>
      <c r="M381" s="10"/>
      <c r="N381" s="18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16"/>
      <c r="AO381" s="16"/>
      <c r="AP381" s="16"/>
      <c r="AQ381" s="16"/>
      <c r="AR381" s="16"/>
      <c r="AS381" s="16"/>
      <c r="AT381" s="16"/>
      <c r="AU381" s="16"/>
      <c r="AV381" s="16"/>
      <c r="AW381" s="16"/>
      <c r="AX381" s="16"/>
      <c r="AY381" s="2"/>
      <c r="AZ381" s="2"/>
      <c r="BA381" s="16"/>
      <c r="BB381" s="16"/>
      <c r="BC381" s="16"/>
      <c r="BD381" s="16"/>
      <c r="BE381" s="16"/>
      <c r="BF381" s="16"/>
      <c r="BG381" s="16"/>
      <c r="BH381" s="16"/>
      <c r="BI381" s="16"/>
      <c r="BJ381" s="16"/>
      <c r="BK381" s="16"/>
      <c r="BL381" s="2"/>
      <c r="BM381" s="15"/>
      <c r="BN381" s="21"/>
      <c r="BO381" s="14"/>
      <c r="BP381" s="14"/>
      <c r="BQ381" s="14"/>
      <c r="BR381" s="14"/>
      <c r="BS381" s="14"/>
      <c r="BT381" s="14"/>
      <c r="BU381" s="24"/>
      <c r="BV381" s="24"/>
      <c r="BW381" s="24"/>
      <c r="BX381" s="24"/>
    </row>
    <row r="382" spans="1:76">
      <c r="A382" s="8" t="s">
        <v>19</v>
      </c>
      <c r="B382" s="8">
        <v>668</v>
      </c>
      <c r="C382" s="8" t="s">
        <v>19</v>
      </c>
      <c r="D382" s="8">
        <v>340</v>
      </c>
      <c r="E382" s="8" t="s">
        <v>20</v>
      </c>
      <c r="F382" s="8">
        <v>529</v>
      </c>
      <c r="G382" s="8" t="s">
        <v>21</v>
      </c>
      <c r="H382" s="8">
        <v>2904</v>
      </c>
      <c r="I382" s="8">
        <v>-2.20165923408586</v>
      </c>
      <c r="J382" s="8">
        <v>-1.82914948886579</v>
      </c>
      <c r="K382" s="8">
        <v>0.421351798702124</v>
      </c>
      <c r="L382" s="26"/>
      <c r="M382" s="10">
        <f t="shared" ref="M382:M392" si="32">(FLOOR(((SQRT(1+8*F382)-3))/2,0.1)*(FLOOR(((SQRT(1+8*F382)-3))/2,0.1)+1))/2</f>
        <v>496</v>
      </c>
      <c r="N382" s="18">
        <f t="shared" ref="N382:N392" si="33">ABS(B382-M382)</f>
        <v>172</v>
      </c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  <c r="AX382" s="16"/>
      <c r="AY382" s="2"/>
      <c r="AZ382" s="2"/>
      <c r="BA382" s="16"/>
      <c r="BB382" s="16"/>
      <c r="BC382" s="16"/>
      <c r="BD382" s="16"/>
      <c r="BE382" s="16"/>
      <c r="BF382" s="16"/>
      <c r="BG382" s="16"/>
      <c r="BH382" s="16"/>
      <c r="BI382" s="16"/>
      <c r="BJ382" s="16"/>
      <c r="BK382" s="16"/>
      <c r="BL382" s="2"/>
      <c r="BM382" s="15"/>
      <c r="BN382" s="21"/>
      <c r="BO382" s="15"/>
      <c r="BP382" s="15"/>
      <c r="BQ382" s="15"/>
      <c r="BR382" s="15"/>
      <c r="BS382" s="15"/>
      <c r="BT382" s="15"/>
      <c r="BU382" s="10"/>
      <c r="BV382" s="10"/>
      <c r="BW382" s="10"/>
      <c r="BX382" s="10"/>
    </row>
    <row r="383" spans="1:76">
      <c r="A383" s="8" t="s">
        <v>19</v>
      </c>
      <c r="B383" s="8">
        <v>668</v>
      </c>
      <c r="C383" s="8" t="s">
        <v>19</v>
      </c>
      <c r="D383" s="8">
        <v>340</v>
      </c>
      <c r="E383" s="8" t="s">
        <v>20</v>
      </c>
      <c r="F383" s="8">
        <v>576</v>
      </c>
      <c r="G383" s="8" t="s">
        <v>21</v>
      </c>
      <c r="H383" s="8">
        <v>3174</v>
      </c>
      <c r="I383" s="8">
        <v>-1.58058705907735</v>
      </c>
      <c r="J383" s="8">
        <v>-1.33774240042989</v>
      </c>
      <c r="K383" s="8">
        <v>1.18946695243175</v>
      </c>
      <c r="L383" s="26"/>
      <c r="M383" s="10">
        <f t="shared" si="32"/>
        <v>541.08</v>
      </c>
      <c r="N383" s="18">
        <f t="shared" si="33"/>
        <v>126.92</v>
      </c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  <c r="AX383" s="16"/>
      <c r="AY383" s="2"/>
      <c r="AZ383" s="2"/>
      <c r="BA383" s="16"/>
      <c r="BB383" s="16"/>
      <c r="BC383" s="16"/>
      <c r="BD383" s="16"/>
      <c r="BE383" s="16"/>
      <c r="BF383" s="16"/>
      <c r="BG383" s="16"/>
      <c r="BH383" s="16"/>
      <c r="BI383" s="16"/>
      <c r="BJ383" s="16"/>
      <c r="BK383" s="16"/>
      <c r="BL383" s="2"/>
      <c r="BM383" s="15"/>
      <c r="BN383" s="21"/>
      <c r="BO383" s="16"/>
      <c r="BP383" s="16"/>
      <c r="BQ383" s="16"/>
      <c r="BR383" s="16"/>
      <c r="BS383" s="16"/>
      <c r="BT383" s="16"/>
      <c r="BU383" s="8"/>
      <c r="BV383" s="8"/>
      <c r="BW383" s="8"/>
      <c r="BX383" s="8"/>
    </row>
    <row r="384" spans="1:76">
      <c r="A384" s="8" t="s">
        <v>19</v>
      </c>
      <c r="B384" s="8">
        <v>668</v>
      </c>
      <c r="C384" s="8" t="s">
        <v>19</v>
      </c>
      <c r="D384" s="8">
        <v>340</v>
      </c>
      <c r="E384" s="8" t="s">
        <v>20</v>
      </c>
      <c r="F384" s="8">
        <v>625</v>
      </c>
      <c r="G384" s="8" t="s">
        <v>21</v>
      </c>
      <c r="H384" s="8">
        <v>3456</v>
      </c>
      <c r="I384" s="8">
        <v>-0.633821552103573</v>
      </c>
      <c r="J384" s="8">
        <v>-0.570326852176399</v>
      </c>
      <c r="K384" s="8">
        <v>2.19306007584933</v>
      </c>
      <c r="L384" s="26"/>
      <c r="M384" s="10">
        <f t="shared" si="32"/>
        <v>588.12</v>
      </c>
      <c r="N384" s="18">
        <f t="shared" si="33"/>
        <v>79.8799999999999</v>
      </c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  <c r="AX384" s="16"/>
      <c r="AY384" s="2"/>
      <c r="AZ384" s="2"/>
      <c r="BA384" s="16"/>
      <c r="BB384" s="16"/>
      <c r="BC384" s="16"/>
      <c r="BD384" s="16"/>
      <c r="BE384" s="16"/>
      <c r="BF384" s="16"/>
      <c r="BG384" s="16"/>
      <c r="BH384" s="16"/>
      <c r="BI384" s="16"/>
      <c r="BJ384" s="16"/>
      <c r="BK384" s="16"/>
      <c r="BL384" s="2"/>
      <c r="BM384" s="15"/>
      <c r="BN384" s="21"/>
      <c r="BO384" s="16"/>
      <c r="BP384" s="16"/>
      <c r="BQ384" s="16"/>
      <c r="BR384" s="16"/>
      <c r="BS384" s="16"/>
      <c r="BT384" s="16"/>
      <c r="BU384" s="8"/>
      <c r="BV384" s="8"/>
      <c r="BW384" s="8"/>
      <c r="BX384" s="8"/>
    </row>
    <row r="385" spans="1:76">
      <c r="A385" s="8" t="s">
        <v>19</v>
      </c>
      <c r="B385" s="8">
        <v>668</v>
      </c>
      <c r="C385" s="8" t="s">
        <v>19</v>
      </c>
      <c r="D385" s="8">
        <v>340</v>
      </c>
      <c r="E385" s="8" t="s">
        <v>20</v>
      </c>
      <c r="F385" s="8">
        <v>676</v>
      </c>
      <c r="G385" s="8" t="s">
        <v>21</v>
      </c>
      <c r="H385" s="8">
        <v>3750</v>
      </c>
      <c r="I385" s="8">
        <v>-0.00184085501629961</v>
      </c>
      <c r="J385" s="8">
        <v>-0.00179256889102183</v>
      </c>
      <c r="K385" s="8">
        <v>3.03431401246362</v>
      </c>
      <c r="L385" s="26"/>
      <c r="M385" s="10">
        <f t="shared" si="32"/>
        <v>637.12</v>
      </c>
      <c r="N385" s="18">
        <f t="shared" si="33"/>
        <v>30.8799999999999</v>
      </c>
      <c r="AN385" s="16"/>
      <c r="AO385" s="16"/>
      <c r="AP385" s="16"/>
      <c r="AQ385" s="16"/>
      <c r="AR385" s="16"/>
      <c r="AS385" s="16"/>
      <c r="AT385" s="16"/>
      <c r="AU385" s="16"/>
      <c r="AV385" s="16"/>
      <c r="AW385" s="16"/>
      <c r="AX385" s="16"/>
      <c r="AY385" s="2"/>
      <c r="AZ385" s="2"/>
      <c r="BA385" s="16"/>
      <c r="BB385" s="16"/>
      <c r="BC385" s="16"/>
      <c r="BD385" s="16"/>
      <c r="BE385" s="16"/>
      <c r="BF385" s="16"/>
      <c r="BG385" s="16"/>
      <c r="BH385" s="16"/>
      <c r="BI385" s="16"/>
      <c r="BJ385" s="16"/>
      <c r="BK385" s="16"/>
      <c r="BL385" s="2"/>
      <c r="BM385" s="15"/>
      <c r="BN385" s="21"/>
      <c r="BO385" s="16"/>
      <c r="BP385" s="16"/>
      <c r="BQ385" s="16"/>
      <c r="BR385" s="16"/>
      <c r="BS385" s="16"/>
      <c r="BT385" s="16"/>
      <c r="BU385" s="8"/>
      <c r="BV385" s="8"/>
      <c r="BW385" s="8"/>
      <c r="BX385" s="8"/>
    </row>
    <row r="386" spans="1:76">
      <c r="A386" s="9" t="s">
        <v>19</v>
      </c>
      <c r="B386" s="9">
        <v>668</v>
      </c>
      <c r="C386" s="9" t="s">
        <v>19</v>
      </c>
      <c r="D386" s="9">
        <v>340</v>
      </c>
      <c r="E386" s="9" t="s">
        <v>20</v>
      </c>
      <c r="F386" s="9">
        <v>729</v>
      </c>
      <c r="G386" s="9" t="s">
        <v>21</v>
      </c>
      <c r="H386" s="9">
        <v>4056</v>
      </c>
      <c r="I386" s="9">
        <v>-0.000219039263421996</v>
      </c>
      <c r="J386" s="9">
        <v>-0.000197850988337157</v>
      </c>
      <c r="K386" s="9">
        <v>2.56935701690071</v>
      </c>
      <c r="L386" s="27"/>
      <c r="M386" s="11">
        <f t="shared" si="32"/>
        <v>688.08</v>
      </c>
      <c r="N386" s="18">
        <f t="shared" si="33"/>
        <v>20.08</v>
      </c>
      <c r="AN386" s="16"/>
      <c r="AO386" s="16"/>
      <c r="AP386" s="16"/>
      <c r="AQ386" s="16"/>
      <c r="AR386" s="16"/>
      <c r="AS386" s="16"/>
      <c r="AT386" s="16"/>
      <c r="AU386" s="16"/>
      <c r="AV386" s="16"/>
      <c r="AW386" s="16"/>
      <c r="AX386" s="16"/>
      <c r="AY386" s="2"/>
      <c r="AZ386" s="2"/>
      <c r="BA386" s="21"/>
      <c r="BB386" s="21"/>
      <c r="BC386" s="21"/>
      <c r="BD386" s="21"/>
      <c r="BE386" s="21"/>
      <c r="BF386" s="21"/>
      <c r="BG386" s="21"/>
      <c r="BH386" s="21"/>
      <c r="BI386" s="21"/>
      <c r="BJ386" s="21"/>
      <c r="BK386" s="21"/>
      <c r="BL386" s="28"/>
      <c r="BM386" s="22"/>
      <c r="BN386" s="21"/>
      <c r="BO386" s="16"/>
      <c r="BP386" s="16"/>
      <c r="BQ386" s="16"/>
      <c r="BR386" s="16"/>
      <c r="BS386" s="16"/>
      <c r="BT386" s="16"/>
      <c r="BU386" s="8"/>
      <c r="BV386" s="8"/>
      <c r="BW386" s="8"/>
      <c r="BX386" s="8"/>
    </row>
    <row r="387" spans="1:76">
      <c r="A387" s="8" t="s">
        <v>19</v>
      </c>
      <c r="B387" s="8">
        <v>668</v>
      </c>
      <c r="C387" s="8" t="s">
        <v>19</v>
      </c>
      <c r="D387" s="8">
        <v>340</v>
      </c>
      <c r="E387" s="8" t="s">
        <v>20</v>
      </c>
      <c r="F387" s="8">
        <v>784</v>
      </c>
      <c r="G387" s="8" t="s">
        <v>21</v>
      </c>
      <c r="H387" s="8">
        <v>4374</v>
      </c>
      <c r="I387" s="8">
        <v>-7.22794911119617e-5</v>
      </c>
      <c r="J387" s="8">
        <v>-6.67269577624169e-5</v>
      </c>
      <c r="K387" s="8">
        <v>2.34447339054746</v>
      </c>
      <c r="L387" s="26"/>
      <c r="M387" s="10">
        <f t="shared" si="32"/>
        <v>744.855</v>
      </c>
      <c r="N387" s="18">
        <f t="shared" si="33"/>
        <v>76.855</v>
      </c>
      <c r="AN387" s="16"/>
      <c r="AO387" s="16"/>
      <c r="AP387" s="16"/>
      <c r="AQ387" s="16"/>
      <c r="AR387" s="16"/>
      <c r="AS387" s="16"/>
      <c r="AT387" s="16"/>
      <c r="AU387" s="16"/>
      <c r="AV387" s="16"/>
      <c r="AW387" s="16"/>
      <c r="AX387" s="16"/>
      <c r="AY387" s="2"/>
      <c r="AZ387" s="2"/>
      <c r="BA387" s="16"/>
      <c r="BB387" s="16"/>
      <c r="BC387" s="16"/>
      <c r="BD387" s="16"/>
      <c r="BE387" s="16"/>
      <c r="BF387" s="16"/>
      <c r="BG387" s="16"/>
      <c r="BH387" s="16"/>
      <c r="BI387" s="16"/>
      <c r="BJ387" s="16"/>
      <c r="BK387" s="16"/>
      <c r="BL387" s="2"/>
      <c r="BM387" s="15"/>
      <c r="BN387" s="21"/>
      <c r="BO387" s="16"/>
      <c r="BP387" s="16"/>
      <c r="BQ387" s="16"/>
      <c r="BR387" s="16"/>
      <c r="BS387" s="16"/>
      <c r="BT387" s="16"/>
      <c r="BU387" s="8"/>
      <c r="BV387" s="8"/>
      <c r="BW387" s="8"/>
      <c r="BX387" s="8"/>
    </row>
    <row r="388" spans="1:76">
      <c r="A388" s="8" t="s">
        <v>19</v>
      </c>
      <c r="B388" s="8">
        <v>668</v>
      </c>
      <c r="C388" s="8" t="s">
        <v>19</v>
      </c>
      <c r="D388" s="8">
        <v>340</v>
      </c>
      <c r="E388" s="8" t="s">
        <v>20</v>
      </c>
      <c r="F388" s="8">
        <v>841</v>
      </c>
      <c r="G388" s="8" t="s">
        <v>21</v>
      </c>
      <c r="H388" s="8">
        <v>4704</v>
      </c>
      <c r="I388" s="8">
        <v>-3.76633249539329e-5</v>
      </c>
      <c r="J388" s="8">
        <v>-3.73674113241267e-5</v>
      </c>
      <c r="K388" s="8">
        <v>2.23916398184337</v>
      </c>
      <c r="L388" s="26"/>
      <c r="M388" s="10">
        <f t="shared" si="32"/>
        <v>799.875</v>
      </c>
      <c r="N388" s="18">
        <f t="shared" si="33"/>
        <v>131.875</v>
      </c>
      <c r="AN388" s="16"/>
      <c r="AO388" s="16"/>
      <c r="AP388" s="16"/>
      <c r="AQ388" s="16"/>
      <c r="AR388" s="16"/>
      <c r="AS388" s="16"/>
      <c r="AT388" s="16"/>
      <c r="AU388" s="16"/>
      <c r="AV388" s="16"/>
      <c r="AW388" s="16"/>
      <c r="AX388" s="16"/>
      <c r="AY388" s="2"/>
      <c r="AZ388" s="2"/>
      <c r="BA388" s="16"/>
      <c r="BB388" s="16"/>
      <c r="BC388" s="16"/>
      <c r="BD388" s="16"/>
      <c r="BE388" s="16"/>
      <c r="BF388" s="16"/>
      <c r="BG388" s="16"/>
      <c r="BH388" s="16"/>
      <c r="BI388" s="16"/>
      <c r="BJ388" s="16"/>
      <c r="BK388" s="16"/>
      <c r="BL388" s="2"/>
      <c r="BM388" s="15"/>
      <c r="BN388" s="21"/>
      <c r="BO388" s="16"/>
      <c r="BP388" s="16"/>
      <c r="BQ388" s="16"/>
      <c r="BR388" s="16"/>
      <c r="BS388" s="16"/>
      <c r="BT388" s="16"/>
      <c r="BU388" s="8"/>
      <c r="BV388" s="8"/>
      <c r="BW388" s="8"/>
      <c r="BX388" s="8"/>
    </row>
    <row r="389" spans="1:76">
      <c r="A389" s="8" t="s">
        <v>19</v>
      </c>
      <c r="B389" s="8">
        <v>668</v>
      </c>
      <c r="C389" s="8" t="s">
        <v>19</v>
      </c>
      <c r="D389" s="8">
        <v>340</v>
      </c>
      <c r="E389" s="8" t="s">
        <v>20</v>
      </c>
      <c r="F389" s="8">
        <v>900</v>
      </c>
      <c r="G389" s="8" t="s">
        <v>21</v>
      </c>
      <c r="H389" s="8">
        <v>5046</v>
      </c>
      <c r="I389" s="8">
        <v>-2.38291510194916e-5</v>
      </c>
      <c r="J389" s="8">
        <v>-2.31795533912809e-5</v>
      </c>
      <c r="K389" s="8">
        <v>2.13263744626745</v>
      </c>
      <c r="L389" s="26"/>
      <c r="M389" s="10">
        <f t="shared" si="32"/>
        <v>856.855</v>
      </c>
      <c r="N389" s="18">
        <f t="shared" si="33"/>
        <v>188.855</v>
      </c>
      <c r="AN389" s="16"/>
      <c r="AO389" s="16"/>
      <c r="AP389" s="16"/>
      <c r="AQ389" s="16"/>
      <c r="AR389" s="16"/>
      <c r="AS389" s="16"/>
      <c r="AT389" s="16"/>
      <c r="AU389" s="16"/>
      <c r="AV389" s="16"/>
      <c r="AW389" s="16"/>
      <c r="AX389" s="16"/>
      <c r="AY389" s="2"/>
      <c r="AZ389" s="2"/>
      <c r="BA389" s="16"/>
      <c r="BB389" s="16"/>
      <c r="BC389" s="16"/>
      <c r="BD389" s="16"/>
      <c r="BE389" s="16"/>
      <c r="BF389" s="16"/>
      <c r="BG389" s="16"/>
      <c r="BH389" s="16"/>
      <c r="BI389" s="16"/>
      <c r="BJ389" s="16"/>
      <c r="BK389" s="16"/>
      <c r="BL389" s="2"/>
      <c r="BM389" s="15"/>
      <c r="BN389" s="21"/>
      <c r="BO389" s="16"/>
      <c r="BP389" s="16"/>
      <c r="BQ389" s="16"/>
      <c r="BR389" s="16"/>
      <c r="BS389" s="16"/>
      <c r="BT389" s="16"/>
      <c r="BU389" s="8"/>
      <c r="BV389" s="8"/>
      <c r="BW389" s="8"/>
      <c r="BX389" s="8"/>
    </row>
    <row r="390" spans="1:76">
      <c r="A390" s="8" t="s">
        <v>19</v>
      </c>
      <c r="B390" s="8">
        <v>668</v>
      </c>
      <c r="C390" s="8" t="s">
        <v>19</v>
      </c>
      <c r="D390" s="8">
        <v>340</v>
      </c>
      <c r="E390" s="8" t="s">
        <v>20</v>
      </c>
      <c r="F390" s="8">
        <v>961</v>
      </c>
      <c r="G390" s="8" t="s">
        <v>21</v>
      </c>
      <c r="H390" s="8">
        <v>5400</v>
      </c>
      <c r="I390" s="8">
        <v>-2.05329646073823e-5</v>
      </c>
      <c r="J390" s="8">
        <v>-1.89423886648776e-5</v>
      </c>
      <c r="K390" s="8">
        <v>2.072814665854</v>
      </c>
      <c r="L390" s="26"/>
      <c r="M390" s="10">
        <f t="shared" si="32"/>
        <v>915.795</v>
      </c>
      <c r="N390" s="18">
        <f t="shared" si="33"/>
        <v>247.795</v>
      </c>
      <c r="AN390" s="16"/>
      <c r="AO390" s="16"/>
      <c r="AP390" s="16"/>
      <c r="AQ390" s="16"/>
      <c r="AR390" s="16"/>
      <c r="AS390" s="16"/>
      <c r="AT390" s="16"/>
      <c r="AU390" s="16"/>
      <c r="AV390" s="16"/>
      <c r="AW390" s="16"/>
      <c r="AX390" s="16"/>
      <c r="AY390" s="2"/>
      <c r="AZ390" s="2"/>
      <c r="BA390" s="16"/>
      <c r="BB390" s="16"/>
      <c r="BC390" s="16"/>
      <c r="BD390" s="16"/>
      <c r="BE390" s="16"/>
      <c r="BF390" s="16"/>
      <c r="BG390" s="16"/>
      <c r="BH390" s="16"/>
      <c r="BI390" s="16"/>
      <c r="BJ390" s="16"/>
      <c r="BK390" s="16"/>
      <c r="BL390" s="2"/>
      <c r="BM390" s="15"/>
      <c r="BN390" s="21"/>
      <c r="BO390" s="16"/>
      <c r="BP390" s="16"/>
      <c r="BQ390" s="16"/>
      <c r="BR390" s="16"/>
      <c r="BS390" s="16"/>
      <c r="BT390" s="16"/>
      <c r="BU390" s="8"/>
      <c r="BV390" s="8"/>
      <c r="BW390" s="8"/>
      <c r="BX390" s="8"/>
    </row>
    <row r="391" spans="1:76">
      <c r="A391" s="8" t="s">
        <v>19</v>
      </c>
      <c r="B391" s="8">
        <v>668</v>
      </c>
      <c r="C391" s="8" t="s">
        <v>19</v>
      </c>
      <c r="D391" s="8">
        <v>340</v>
      </c>
      <c r="E391" s="8" t="s">
        <v>20</v>
      </c>
      <c r="F391" s="8">
        <v>1024</v>
      </c>
      <c r="G391" s="8" t="s">
        <v>21</v>
      </c>
      <c r="H391" s="8">
        <v>5766</v>
      </c>
      <c r="I391" s="8">
        <v>-1.31904841237337e-5</v>
      </c>
      <c r="J391" s="8">
        <v>-1.25733874048537e-5</v>
      </c>
      <c r="K391" s="8">
        <v>1.99244547104087</v>
      </c>
      <c r="L391" s="26"/>
      <c r="M391" s="10">
        <f t="shared" si="32"/>
        <v>976.695</v>
      </c>
      <c r="N391" s="18">
        <f t="shared" si="33"/>
        <v>308.695</v>
      </c>
      <c r="BA391" s="16"/>
      <c r="BB391" s="16"/>
      <c r="BC391" s="16"/>
      <c r="BD391" s="16"/>
      <c r="BE391" s="16"/>
      <c r="BF391" s="16"/>
      <c r="BG391" s="16"/>
      <c r="BH391" s="16"/>
      <c r="BI391" s="16"/>
      <c r="BJ391" s="16"/>
      <c r="BK391" s="16"/>
      <c r="BL391" s="2"/>
      <c r="BM391" s="15"/>
      <c r="BN391" s="21"/>
      <c r="BO391" s="16"/>
      <c r="BP391" s="16"/>
      <c r="BQ391" s="16"/>
      <c r="BR391" s="16"/>
      <c r="BS391" s="16"/>
      <c r="BT391" s="16"/>
      <c r="BU391" s="8"/>
      <c r="BV391" s="8"/>
      <c r="BW391" s="8"/>
      <c r="BX391" s="8"/>
    </row>
    <row r="392" spans="1:76">
      <c r="A392" s="8" t="s">
        <v>19</v>
      </c>
      <c r="B392" s="8">
        <v>668</v>
      </c>
      <c r="C392" s="8" t="s">
        <v>19</v>
      </c>
      <c r="D392" s="8">
        <v>340</v>
      </c>
      <c r="E392" s="8" t="s">
        <v>20</v>
      </c>
      <c r="F392" s="8">
        <v>1089</v>
      </c>
      <c r="G392" s="8" t="s">
        <v>21</v>
      </c>
      <c r="H392" s="8">
        <v>6144</v>
      </c>
      <c r="I392" s="8">
        <v>-9.49922551112713e-6</v>
      </c>
      <c r="J392" s="8">
        <v>-9.55537598757706e-6</v>
      </c>
      <c r="K392" s="8">
        <v>1.94753690006862</v>
      </c>
      <c r="L392" s="26"/>
      <c r="M392" s="10">
        <f t="shared" si="32"/>
        <v>1039.555</v>
      </c>
      <c r="N392" s="18">
        <f t="shared" si="33"/>
        <v>371.555</v>
      </c>
      <c r="BA392" s="16"/>
      <c r="BB392" s="16"/>
      <c r="BC392" s="16"/>
      <c r="BD392" s="16"/>
      <c r="BE392" s="16"/>
      <c r="BF392" s="16"/>
      <c r="BG392" s="16"/>
      <c r="BH392" s="16"/>
      <c r="BI392" s="16"/>
      <c r="BJ392" s="16"/>
      <c r="BK392" s="16"/>
      <c r="BL392" s="2"/>
      <c r="BM392" s="15"/>
      <c r="BN392" s="21"/>
      <c r="BO392" s="16"/>
      <c r="BP392" s="16"/>
      <c r="BQ392" s="16"/>
      <c r="BR392" s="16"/>
      <c r="BS392" s="16"/>
      <c r="BT392" s="16"/>
      <c r="BU392" s="8"/>
      <c r="BV392" s="8"/>
      <c r="BW392" s="8"/>
      <c r="BX392" s="8"/>
    </row>
    <row r="393" ht="23.25" spans="1:76">
      <c r="A393" s="7" t="s">
        <v>38</v>
      </c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26"/>
      <c r="M393" s="10"/>
      <c r="N393" s="18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0"/>
      <c r="BB393" s="20"/>
      <c r="BC393" s="20"/>
      <c r="BD393" s="20"/>
      <c r="BE393" s="20"/>
      <c r="BF393" s="20"/>
      <c r="BG393" s="20"/>
      <c r="BH393" s="20"/>
      <c r="BI393" s="20"/>
      <c r="BJ393" s="20"/>
      <c r="BK393" s="20"/>
      <c r="BL393" s="2"/>
      <c r="BM393" s="15"/>
      <c r="BN393" s="21"/>
      <c r="BO393" s="16"/>
      <c r="BP393" s="16"/>
      <c r="BQ393" s="16"/>
      <c r="BR393" s="16"/>
      <c r="BS393" s="16"/>
      <c r="BT393" s="16"/>
      <c r="BU393" s="8"/>
      <c r="BV393" s="8"/>
      <c r="BW393" s="8"/>
      <c r="BX393" s="8"/>
    </row>
    <row r="394" ht="23.25" spans="1:76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26"/>
      <c r="M394" s="10"/>
      <c r="N394" s="18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0"/>
      <c r="BB394" s="20"/>
      <c r="BC394" s="20"/>
      <c r="BD394" s="20"/>
      <c r="BE394" s="20"/>
      <c r="BF394" s="20"/>
      <c r="BG394" s="20"/>
      <c r="BH394" s="20"/>
      <c r="BI394" s="20"/>
      <c r="BJ394" s="20"/>
      <c r="BK394" s="20"/>
      <c r="BL394" s="2"/>
      <c r="BM394" s="15"/>
      <c r="BN394" s="21"/>
      <c r="BO394" s="14"/>
      <c r="BP394" s="14"/>
      <c r="BQ394" s="14"/>
      <c r="BR394" s="14"/>
      <c r="BS394" s="14"/>
      <c r="BT394" s="14"/>
      <c r="BU394" s="24"/>
      <c r="BV394" s="24"/>
      <c r="BW394" s="24"/>
      <c r="BX394" s="24"/>
    </row>
    <row r="395" ht="23.25" spans="1:76">
      <c r="A395" s="8" t="s">
        <v>7</v>
      </c>
      <c r="B395" s="8" t="s">
        <v>8</v>
      </c>
      <c r="C395" s="8" t="s">
        <v>9</v>
      </c>
      <c r="D395" s="8" t="s">
        <v>10</v>
      </c>
      <c r="E395" s="8" t="s">
        <v>11</v>
      </c>
      <c r="F395" s="8" t="s">
        <v>12</v>
      </c>
      <c r="G395" s="8" t="s">
        <v>13</v>
      </c>
      <c r="H395" s="8" t="s">
        <v>14</v>
      </c>
      <c r="I395" s="8" t="s">
        <v>15</v>
      </c>
      <c r="J395" s="8" t="s">
        <v>16</v>
      </c>
      <c r="K395" s="8" t="s">
        <v>17</v>
      </c>
      <c r="L395" s="26"/>
      <c r="M395" s="10"/>
      <c r="N395" s="18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16"/>
      <c r="BB395" s="16"/>
      <c r="BC395" s="16"/>
      <c r="BD395" s="16"/>
      <c r="BE395" s="16"/>
      <c r="BF395" s="16"/>
      <c r="BG395" s="16"/>
      <c r="BH395" s="16"/>
      <c r="BI395" s="16"/>
      <c r="BJ395" s="16"/>
      <c r="BK395" s="16"/>
      <c r="BL395" s="2"/>
      <c r="BM395" s="15"/>
      <c r="BN395" s="21"/>
      <c r="BO395" s="14"/>
      <c r="BP395" s="14"/>
      <c r="BQ395" s="14"/>
      <c r="BR395" s="14"/>
      <c r="BS395" s="14"/>
      <c r="BT395" s="14"/>
      <c r="BU395" s="24"/>
      <c r="BV395" s="24"/>
      <c r="BW395" s="24"/>
      <c r="BX395" s="24"/>
    </row>
    <row r="396" spans="1:76">
      <c r="A396" s="8" t="s">
        <v>19</v>
      </c>
      <c r="B396" s="8">
        <v>741</v>
      </c>
      <c r="C396" s="8" t="s">
        <v>19</v>
      </c>
      <c r="D396" s="8">
        <v>340</v>
      </c>
      <c r="E396" s="8" t="s">
        <v>20</v>
      </c>
      <c r="F396" s="8">
        <v>576</v>
      </c>
      <c r="G396" s="8" t="s">
        <v>21</v>
      </c>
      <c r="H396" s="8">
        <v>3174</v>
      </c>
      <c r="I396" s="8">
        <v>-2.24867222576729</v>
      </c>
      <c r="J396" s="8">
        <v>-1.82349453175484</v>
      </c>
      <c r="K396" s="8">
        <v>0.748220103932948</v>
      </c>
      <c r="L396" s="26"/>
      <c r="M396" s="10">
        <f t="shared" ref="M396:M405" si="34">(FLOOR(((SQRT(1+8*F396)-3))/2,0.1)*(FLOOR(((SQRT(1+8*F396)-3))/2,0.1)+1))/2</f>
        <v>541.08</v>
      </c>
      <c r="N396" s="18">
        <f t="shared" ref="N396:N405" si="35">ABS(B396-M396)</f>
        <v>199.92</v>
      </c>
      <c r="BA396" s="16"/>
      <c r="BB396" s="16"/>
      <c r="BC396" s="16"/>
      <c r="BD396" s="16"/>
      <c r="BE396" s="16"/>
      <c r="BF396" s="16"/>
      <c r="BG396" s="16"/>
      <c r="BH396" s="16"/>
      <c r="BI396" s="16"/>
      <c r="BJ396" s="16"/>
      <c r="BK396" s="16"/>
      <c r="BL396" s="2"/>
      <c r="BM396" s="15"/>
      <c r="BN396" s="21"/>
      <c r="BO396" s="15"/>
      <c r="BP396" s="15"/>
      <c r="BQ396" s="15"/>
      <c r="BR396" s="15"/>
      <c r="BS396" s="15"/>
      <c r="BT396" s="15"/>
      <c r="BU396" s="10"/>
      <c r="BV396" s="10"/>
      <c r="BW396" s="10"/>
      <c r="BX396" s="10"/>
    </row>
    <row r="397" spans="1:76">
      <c r="A397" s="8" t="s">
        <v>19</v>
      </c>
      <c r="B397" s="8">
        <v>741</v>
      </c>
      <c r="C397" s="8" t="s">
        <v>19</v>
      </c>
      <c r="D397" s="8">
        <v>340</v>
      </c>
      <c r="E397" s="8" t="s">
        <v>20</v>
      </c>
      <c r="F397" s="8">
        <v>625</v>
      </c>
      <c r="G397" s="8" t="s">
        <v>21</v>
      </c>
      <c r="H397" s="8">
        <v>3456</v>
      </c>
      <c r="I397" s="8">
        <v>-1.4995085845444</v>
      </c>
      <c r="J397" s="8">
        <v>-1.23046381140026</v>
      </c>
      <c r="K397" s="8">
        <v>1.4924997207157</v>
      </c>
      <c r="L397" s="26"/>
      <c r="M397" s="10">
        <f t="shared" si="34"/>
        <v>588.12</v>
      </c>
      <c r="N397" s="18">
        <f t="shared" si="35"/>
        <v>152.88</v>
      </c>
      <c r="BA397" s="16"/>
      <c r="BB397" s="16"/>
      <c r="BC397" s="16"/>
      <c r="BD397" s="16"/>
      <c r="BE397" s="16"/>
      <c r="BF397" s="16"/>
      <c r="BG397" s="16"/>
      <c r="BH397" s="16"/>
      <c r="BI397" s="16"/>
      <c r="BJ397" s="16"/>
      <c r="BK397" s="16"/>
      <c r="BL397" s="2"/>
      <c r="BM397" s="15"/>
      <c r="BN397" s="21"/>
      <c r="BO397" s="16"/>
      <c r="BP397" s="16"/>
      <c r="BQ397" s="16"/>
      <c r="BR397" s="16"/>
      <c r="BS397" s="16"/>
      <c r="BT397" s="16"/>
      <c r="BU397" s="8"/>
      <c r="BV397" s="8"/>
      <c r="BW397" s="8"/>
      <c r="BX397" s="8"/>
    </row>
    <row r="398" spans="1:76">
      <c r="A398" s="8" t="s">
        <v>19</v>
      </c>
      <c r="B398" s="8">
        <v>741</v>
      </c>
      <c r="C398" s="8" t="s">
        <v>19</v>
      </c>
      <c r="D398" s="8">
        <v>340</v>
      </c>
      <c r="E398" s="8" t="s">
        <v>20</v>
      </c>
      <c r="F398" s="8">
        <v>676</v>
      </c>
      <c r="G398" s="8" t="s">
        <v>21</v>
      </c>
      <c r="H398" s="8">
        <v>3750</v>
      </c>
      <c r="I398" s="8">
        <v>-0.489589905432719</v>
      </c>
      <c r="J398" s="8">
        <v>-0.431613245956757</v>
      </c>
      <c r="K398" s="8">
        <v>2.48226059429589</v>
      </c>
      <c r="L398" s="26"/>
      <c r="M398" s="10">
        <f t="shared" si="34"/>
        <v>637.12</v>
      </c>
      <c r="N398" s="18">
        <f t="shared" si="35"/>
        <v>103.88</v>
      </c>
      <c r="BA398" s="16"/>
      <c r="BB398" s="16"/>
      <c r="BC398" s="16"/>
      <c r="BD398" s="16"/>
      <c r="BE398" s="16"/>
      <c r="BF398" s="16"/>
      <c r="BG398" s="16"/>
      <c r="BH398" s="16"/>
      <c r="BI398" s="16"/>
      <c r="BJ398" s="16"/>
      <c r="BK398" s="16"/>
      <c r="BL398" s="2"/>
      <c r="BM398" s="15"/>
      <c r="BN398" s="21"/>
      <c r="BO398" s="16"/>
      <c r="BP398" s="16"/>
      <c r="BQ398" s="16"/>
      <c r="BR398" s="16"/>
      <c r="BS398" s="16"/>
      <c r="BT398" s="16"/>
      <c r="BU398" s="8"/>
      <c r="BV398" s="8"/>
      <c r="BW398" s="8"/>
      <c r="BX398" s="8"/>
    </row>
    <row r="399" spans="1:76">
      <c r="A399" s="8" t="s">
        <v>19</v>
      </c>
      <c r="B399" s="8">
        <v>741</v>
      </c>
      <c r="C399" s="8" t="s">
        <v>19</v>
      </c>
      <c r="D399" s="8">
        <v>340</v>
      </c>
      <c r="E399" s="8" t="s">
        <v>20</v>
      </c>
      <c r="F399" s="8">
        <v>729</v>
      </c>
      <c r="G399" s="8" t="s">
        <v>21</v>
      </c>
      <c r="H399" s="8">
        <v>4056</v>
      </c>
      <c r="I399" s="8">
        <v>-0.000854387801103092</v>
      </c>
      <c r="J399" s="8">
        <v>-0.000766599349312125</v>
      </c>
      <c r="K399" s="8">
        <v>2.86090762780332</v>
      </c>
      <c r="L399" s="26"/>
      <c r="M399" s="10">
        <f t="shared" si="34"/>
        <v>688.08</v>
      </c>
      <c r="N399" s="18">
        <f t="shared" si="35"/>
        <v>52.92</v>
      </c>
      <c r="BA399" s="16"/>
      <c r="BB399" s="16"/>
      <c r="BC399" s="16"/>
      <c r="BD399" s="16"/>
      <c r="BE399" s="16"/>
      <c r="BF399" s="16"/>
      <c r="BG399" s="16"/>
      <c r="BH399" s="16"/>
      <c r="BI399" s="16"/>
      <c r="BJ399" s="16"/>
      <c r="BK399" s="16"/>
      <c r="BL399" s="2"/>
      <c r="BM399" s="15"/>
      <c r="BN399" s="21"/>
      <c r="BO399" s="16"/>
      <c r="BP399" s="16"/>
      <c r="BQ399" s="16"/>
      <c r="BR399" s="16"/>
      <c r="BS399" s="16"/>
      <c r="BT399" s="16"/>
      <c r="BU399" s="8"/>
      <c r="BV399" s="8"/>
      <c r="BW399" s="8"/>
      <c r="BX399" s="8"/>
    </row>
    <row r="400" spans="1:76">
      <c r="A400" s="9" t="s">
        <v>19</v>
      </c>
      <c r="B400" s="9">
        <v>741</v>
      </c>
      <c r="C400" s="9" t="s">
        <v>19</v>
      </c>
      <c r="D400" s="9">
        <v>340</v>
      </c>
      <c r="E400" s="9" t="s">
        <v>20</v>
      </c>
      <c r="F400" s="9">
        <v>784</v>
      </c>
      <c r="G400" s="9" t="s">
        <v>21</v>
      </c>
      <c r="H400" s="9">
        <v>4374</v>
      </c>
      <c r="I400" s="9">
        <v>-0.000178168473318692</v>
      </c>
      <c r="J400" s="9">
        <v>-0.000167354473333442</v>
      </c>
      <c r="K400" s="9">
        <v>2.54675877982842</v>
      </c>
      <c r="L400" s="27"/>
      <c r="M400" s="11">
        <f t="shared" si="34"/>
        <v>744.855</v>
      </c>
      <c r="N400" s="18">
        <f t="shared" si="35"/>
        <v>3.85500000000002</v>
      </c>
      <c r="BA400" s="21"/>
      <c r="BB400" s="21"/>
      <c r="BC400" s="21"/>
      <c r="BD400" s="21"/>
      <c r="BE400" s="21"/>
      <c r="BF400" s="21"/>
      <c r="BG400" s="21"/>
      <c r="BH400" s="21"/>
      <c r="BI400" s="21"/>
      <c r="BJ400" s="21"/>
      <c r="BK400" s="21"/>
      <c r="BL400" s="28"/>
      <c r="BM400" s="22"/>
      <c r="BN400" s="21"/>
      <c r="BO400" s="16"/>
      <c r="BP400" s="16"/>
      <c r="BQ400" s="16"/>
      <c r="BR400" s="16"/>
      <c r="BS400" s="16"/>
      <c r="BT400" s="16"/>
      <c r="BU400" s="8"/>
      <c r="BV400" s="8"/>
      <c r="BW400" s="8"/>
      <c r="BX400" s="8"/>
    </row>
    <row r="401" spans="1:76">
      <c r="A401" s="8" t="s">
        <v>19</v>
      </c>
      <c r="B401" s="8">
        <v>741</v>
      </c>
      <c r="C401" s="8" t="s">
        <v>19</v>
      </c>
      <c r="D401" s="8">
        <v>340</v>
      </c>
      <c r="E401" s="8" t="s">
        <v>20</v>
      </c>
      <c r="F401" s="8">
        <v>841</v>
      </c>
      <c r="G401" s="8" t="s">
        <v>21</v>
      </c>
      <c r="H401" s="8">
        <v>4704</v>
      </c>
      <c r="I401" s="8">
        <v>-0.000101993247145142</v>
      </c>
      <c r="J401" s="8">
        <v>-9.35545300772494e-5</v>
      </c>
      <c r="K401" s="8">
        <v>2.41028971175167</v>
      </c>
      <c r="L401" s="26"/>
      <c r="M401" s="10">
        <f t="shared" si="34"/>
        <v>799.875</v>
      </c>
      <c r="N401" s="18">
        <f t="shared" si="35"/>
        <v>58.875</v>
      </c>
      <c r="BA401" s="16"/>
      <c r="BB401" s="16"/>
      <c r="BC401" s="16"/>
      <c r="BD401" s="16"/>
      <c r="BE401" s="16"/>
      <c r="BF401" s="16"/>
      <c r="BG401" s="16"/>
      <c r="BH401" s="16"/>
      <c r="BI401" s="16"/>
      <c r="BJ401" s="16"/>
      <c r="BK401" s="16"/>
      <c r="BL401" s="2"/>
      <c r="BM401" s="15"/>
      <c r="BN401" s="21"/>
      <c r="BO401" s="16"/>
      <c r="BP401" s="16"/>
      <c r="BQ401" s="16"/>
      <c r="BR401" s="16"/>
      <c r="BS401" s="16"/>
      <c r="BT401" s="16"/>
      <c r="BU401" s="8"/>
      <c r="BV401" s="8"/>
      <c r="BW401" s="8"/>
      <c r="BX401" s="8"/>
    </row>
    <row r="402" spans="1:76">
      <c r="A402" s="8" t="s">
        <v>19</v>
      </c>
      <c r="B402" s="8">
        <v>741</v>
      </c>
      <c r="C402" s="8" t="s">
        <v>19</v>
      </c>
      <c r="D402" s="8">
        <v>340</v>
      </c>
      <c r="E402" s="8" t="s">
        <v>20</v>
      </c>
      <c r="F402" s="8">
        <v>900</v>
      </c>
      <c r="G402" s="8" t="s">
        <v>21</v>
      </c>
      <c r="H402" s="8">
        <v>5046</v>
      </c>
      <c r="I402" s="8">
        <v>-4.81045596511314e-5</v>
      </c>
      <c r="J402" s="8">
        <v>-4.45755127062189e-5</v>
      </c>
      <c r="K402" s="8">
        <v>2.25759164214269</v>
      </c>
      <c r="L402" s="26"/>
      <c r="M402" s="10">
        <f t="shared" si="34"/>
        <v>856.855</v>
      </c>
      <c r="N402" s="18">
        <f t="shared" si="35"/>
        <v>115.855</v>
      </c>
      <c r="BA402" s="16"/>
      <c r="BB402" s="16"/>
      <c r="BC402" s="16"/>
      <c r="BD402" s="16"/>
      <c r="BE402" s="16"/>
      <c r="BF402" s="16"/>
      <c r="BG402" s="16"/>
      <c r="BH402" s="16"/>
      <c r="BI402" s="16"/>
      <c r="BJ402" s="16"/>
      <c r="BK402" s="16"/>
      <c r="BL402" s="2"/>
      <c r="BM402" s="15"/>
      <c r="BN402" s="21"/>
      <c r="BO402" s="16"/>
      <c r="BP402" s="16"/>
      <c r="BQ402" s="16"/>
      <c r="BR402" s="16"/>
      <c r="BS402" s="16"/>
      <c r="BT402" s="16"/>
      <c r="BU402" s="8"/>
      <c r="BV402" s="8"/>
      <c r="BW402" s="8"/>
      <c r="BX402" s="8"/>
    </row>
    <row r="403" spans="1:76">
      <c r="A403" s="8" t="s">
        <v>19</v>
      </c>
      <c r="B403" s="8">
        <v>741</v>
      </c>
      <c r="C403" s="8" t="s">
        <v>19</v>
      </c>
      <c r="D403" s="8">
        <v>340</v>
      </c>
      <c r="E403" s="8" t="s">
        <v>20</v>
      </c>
      <c r="F403" s="8">
        <v>961</v>
      </c>
      <c r="G403" s="8" t="s">
        <v>21</v>
      </c>
      <c r="H403" s="8">
        <v>5400</v>
      </c>
      <c r="I403" s="8">
        <v>-3.55945435288451e-5</v>
      </c>
      <c r="J403" s="8">
        <v>-3.38545899898468e-5</v>
      </c>
      <c r="K403" s="8">
        <v>2.20271125952218</v>
      </c>
      <c r="L403" s="26"/>
      <c r="M403" s="10">
        <f t="shared" si="34"/>
        <v>915.795</v>
      </c>
      <c r="N403" s="18">
        <f t="shared" si="35"/>
        <v>174.795</v>
      </c>
      <c r="BA403" s="16"/>
      <c r="BB403" s="16"/>
      <c r="BC403" s="16"/>
      <c r="BD403" s="16"/>
      <c r="BE403" s="16"/>
      <c r="BF403" s="16"/>
      <c r="BG403" s="16"/>
      <c r="BH403" s="16"/>
      <c r="BI403" s="16"/>
      <c r="BJ403" s="16"/>
      <c r="BK403" s="16"/>
      <c r="BL403" s="2"/>
      <c r="BM403" s="15"/>
      <c r="BN403" s="21"/>
      <c r="BO403" s="16"/>
      <c r="BP403" s="16"/>
      <c r="BQ403" s="16"/>
      <c r="BR403" s="16"/>
      <c r="BS403" s="16"/>
      <c r="BT403" s="16"/>
      <c r="BU403" s="8"/>
      <c r="BV403" s="8"/>
      <c r="BW403" s="8"/>
      <c r="BX403" s="8"/>
    </row>
    <row r="404" spans="1:76">
      <c r="A404" s="8" t="s">
        <v>19</v>
      </c>
      <c r="B404" s="8">
        <v>741</v>
      </c>
      <c r="C404" s="8" t="s">
        <v>19</v>
      </c>
      <c r="D404" s="8">
        <v>340</v>
      </c>
      <c r="E404" s="8" t="s">
        <v>20</v>
      </c>
      <c r="F404" s="8">
        <v>1024</v>
      </c>
      <c r="G404" s="8" t="s">
        <v>21</v>
      </c>
      <c r="H404" s="8">
        <v>5766</v>
      </c>
      <c r="I404" s="8">
        <v>-2.15870400108876e-5</v>
      </c>
      <c r="J404" s="8">
        <v>-2.10372492027991e-5</v>
      </c>
      <c r="K404" s="8">
        <v>2.10603618969843</v>
      </c>
      <c r="L404" s="26"/>
      <c r="M404" s="10">
        <f t="shared" si="34"/>
        <v>976.695</v>
      </c>
      <c r="N404" s="18">
        <f t="shared" si="35"/>
        <v>235.695</v>
      </c>
      <c r="BA404" s="16"/>
      <c r="BB404" s="16"/>
      <c r="BC404" s="16"/>
      <c r="BD404" s="16"/>
      <c r="BE404" s="16"/>
      <c r="BF404" s="16"/>
      <c r="BG404" s="16"/>
      <c r="BH404" s="16"/>
      <c r="BI404" s="16"/>
      <c r="BJ404" s="16"/>
      <c r="BK404" s="16"/>
      <c r="BL404" s="2"/>
      <c r="BM404" s="15"/>
      <c r="BN404" s="21"/>
      <c r="BO404" s="16"/>
      <c r="BP404" s="16"/>
      <c r="BQ404" s="16"/>
      <c r="BR404" s="16"/>
      <c r="BS404" s="16"/>
      <c r="BT404" s="16"/>
      <c r="BU404" s="8"/>
      <c r="BV404" s="8"/>
      <c r="BW404" s="8"/>
      <c r="BX404" s="8"/>
    </row>
    <row r="405" spans="1:76">
      <c r="A405" s="8" t="s">
        <v>19</v>
      </c>
      <c r="B405" s="8">
        <v>741</v>
      </c>
      <c r="C405" s="8" t="s">
        <v>19</v>
      </c>
      <c r="D405" s="8">
        <v>340</v>
      </c>
      <c r="E405" s="8" t="s">
        <v>20</v>
      </c>
      <c r="F405" s="8">
        <v>1089</v>
      </c>
      <c r="G405" s="8" t="s">
        <v>21</v>
      </c>
      <c r="H405" s="8">
        <v>6144</v>
      </c>
      <c r="I405" s="8">
        <v>-1.78452684923505e-5</v>
      </c>
      <c r="J405" s="8">
        <v>-1.68692792007567e-5</v>
      </c>
      <c r="K405" s="8">
        <v>2.05108384623372</v>
      </c>
      <c r="L405" s="26"/>
      <c r="M405" s="10">
        <f t="shared" si="34"/>
        <v>1039.555</v>
      </c>
      <c r="N405" s="18">
        <f t="shared" si="35"/>
        <v>298.555</v>
      </c>
      <c r="BA405" s="16"/>
      <c r="BB405" s="16"/>
      <c r="BC405" s="16"/>
      <c r="BD405" s="16"/>
      <c r="BE405" s="16"/>
      <c r="BF405" s="16"/>
      <c r="BG405" s="16"/>
      <c r="BH405" s="16"/>
      <c r="BI405" s="16"/>
      <c r="BJ405" s="16"/>
      <c r="BK405" s="16"/>
      <c r="BL405" s="2"/>
      <c r="BM405" s="15"/>
      <c r="BN405" s="21"/>
      <c r="BO405" s="16"/>
      <c r="BP405" s="16"/>
      <c r="BQ405" s="16"/>
      <c r="BR405" s="16"/>
      <c r="BS405" s="16"/>
      <c r="BT405" s="16"/>
      <c r="BU405" s="8"/>
      <c r="BV405" s="8"/>
      <c r="BW405" s="8"/>
      <c r="BX405" s="8"/>
    </row>
    <row r="406" ht="23.25" spans="1:76">
      <c r="A406" s="7" t="s">
        <v>39</v>
      </c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26"/>
      <c r="M406" s="10"/>
      <c r="N406" s="18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0"/>
      <c r="BB406" s="20"/>
      <c r="BC406" s="20"/>
      <c r="BD406" s="20"/>
      <c r="BE406" s="20"/>
      <c r="BF406" s="20"/>
      <c r="BG406" s="20"/>
      <c r="BH406" s="20"/>
      <c r="BI406" s="20"/>
      <c r="BJ406" s="20"/>
      <c r="BK406" s="20"/>
      <c r="BL406" s="2"/>
      <c r="BM406" s="15"/>
      <c r="BN406" s="21"/>
      <c r="BO406" s="16"/>
      <c r="BP406" s="16"/>
      <c r="BQ406" s="16"/>
      <c r="BR406" s="16"/>
      <c r="BS406" s="16"/>
      <c r="BT406" s="16"/>
      <c r="BU406" s="8"/>
      <c r="BV406" s="8"/>
      <c r="BW406" s="8"/>
      <c r="BX406" s="8"/>
    </row>
    <row r="407" ht="23.25" spans="1:76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26"/>
      <c r="M407" s="10"/>
      <c r="N407" s="18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0"/>
      <c r="BB407" s="20"/>
      <c r="BC407" s="20"/>
      <c r="BD407" s="20"/>
      <c r="BE407" s="20"/>
      <c r="BF407" s="20"/>
      <c r="BG407" s="20"/>
      <c r="BH407" s="20"/>
      <c r="BI407" s="20"/>
      <c r="BJ407" s="20"/>
      <c r="BK407" s="20"/>
      <c r="BL407" s="2"/>
      <c r="BM407" s="15"/>
      <c r="BN407" s="21"/>
      <c r="BO407" s="14"/>
      <c r="BP407" s="14"/>
      <c r="BQ407" s="14"/>
      <c r="BR407" s="14"/>
      <c r="BS407" s="14"/>
      <c r="BT407" s="14"/>
      <c r="BU407" s="24"/>
      <c r="BV407" s="24"/>
      <c r="BW407" s="24"/>
      <c r="BX407" s="24"/>
    </row>
    <row r="408" ht="23.25" spans="1:76">
      <c r="A408" s="8" t="s">
        <v>7</v>
      </c>
      <c r="B408" s="8" t="s">
        <v>8</v>
      </c>
      <c r="C408" s="8" t="s">
        <v>9</v>
      </c>
      <c r="D408" s="8" t="s">
        <v>10</v>
      </c>
      <c r="E408" s="8" t="s">
        <v>11</v>
      </c>
      <c r="F408" s="8" t="s">
        <v>12</v>
      </c>
      <c r="G408" s="8" t="s">
        <v>13</v>
      </c>
      <c r="H408" s="8" t="s">
        <v>14</v>
      </c>
      <c r="I408" s="8" t="s">
        <v>15</v>
      </c>
      <c r="J408" s="8" t="s">
        <v>16</v>
      </c>
      <c r="K408" s="8" t="s">
        <v>17</v>
      </c>
      <c r="L408" s="26"/>
      <c r="M408" s="10"/>
      <c r="N408" s="18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16"/>
      <c r="BB408" s="16"/>
      <c r="BC408" s="16"/>
      <c r="BD408" s="16"/>
      <c r="BE408" s="16"/>
      <c r="BF408" s="16"/>
      <c r="BG408" s="16"/>
      <c r="BH408" s="16"/>
      <c r="BI408" s="16"/>
      <c r="BJ408" s="16"/>
      <c r="BK408" s="16"/>
      <c r="BL408" s="2"/>
      <c r="BM408" s="15"/>
      <c r="BN408" s="21"/>
      <c r="BO408" s="14"/>
      <c r="BP408" s="14"/>
      <c r="BQ408" s="14"/>
      <c r="BR408" s="14"/>
      <c r="BS408" s="14"/>
      <c r="BT408" s="14"/>
      <c r="BU408" s="24"/>
      <c r="BV408" s="24"/>
      <c r="BW408" s="24"/>
      <c r="BX408" s="24"/>
    </row>
    <row r="409" spans="1:76">
      <c r="A409" s="8" t="s">
        <v>19</v>
      </c>
      <c r="B409" s="8">
        <v>797</v>
      </c>
      <c r="C409" s="8" t="s">
        <v>19</v>
      </c>
      <c r="D409" s="8">
        <v>340</v>
      </c>
      <c r="E409" s="8" t="s">
        <v>20</v>
      </c>
      <c r="F409" s="8">
        <v>625</v>
      </c>
      <c r="G409" s="8" t="s">
        <v>21</v>
      </c>
      <c r="H409" s="8">
        <v>3456</v>
      </c>
      <c r="I409" s="8">
        <v>-2.04516135774693</v>
      </c>
      <c r="J409" s="8">
        <v>-1.65173833361076</v>
      </c>
      <c r="K409" s="8">
        <v>1.03236992497018</v>
      </c>
      <c r="L409" s="26"/>
      <c r="M409" s="10">
        <f t="shared" ref="M409:M417" si="36">(FLOOR(((SQRT(1+8*F409)-3))/2,0.1)*(FLOOR(((SQRT(1+8*F409)-3))/2,0.1)+1))/2</f>
        <v>588.12</v>
      </c>
      <c r="N409" s="18">
        <f t="shared" ref="N409:N417" si="37">ABS(B409-M409)</f>
        <v>208.88</v>
      </c>
      <c r="BA409" s="16"/>
      <c r="BB409" s="16"/>
      <c r="BC409" s="16"/>
      <c r="BD409" s="16"/>
      <c r="BE409" s="16"/>
      <c r="BF409" s="16"/>
      <c r="BG409" s="16"/>
      <c r="BH409" s="16"/>
      <c r="BI409" s="16"/>
      <c r="BJ409" s="16"/>
      <c r="BK409" s="16"/>
      <c r="BL409" s="2"/>
      <c r="BM409" s="15"/>
      <c r="BN409" s="21"/>
      <c r="BO409" s="15"/>
      <c r="BP409" s="15"/>
      <c r="BQ409" s="15"/>
      <c r="BR409" s="15"/>
      <c r="BS409" s="15"/>
      <c r="BT409" s="15"/>
      <c r="BU409" s="10"/>
      <c r="BV409" s="10"/>
      <c r="BW409" s="10"/>
      <c r="BX409" s="10"/>
    </row>
    <row r="410" spans="1:76">
      <c r="A410" s="8" t="s">
        <v>19</v>
      </c>
      <c r="B410" s="8">
        <v>797</v>
      </c>
      <c r="C410" s="8" t="s">
        <v>19</v>
      </c>
      <c r="D410" s="8">
        <v>340</v>
      </c>
      <c r="E410" s="8" t="s">
        <v>20</v>
      </c>
      <c r="F410" s="8">
        <v>676</v>
      </c>
      <c r="G410" s="8" t="s">
        <v>21</v>
      </c>
      <c r="H410" s="8">
        <v>3750</v>
      </c>
      <c r="I410" s="8">
        <v>-1.02693323473398</v>
      </c>
      <c r="J410" s="8">
        <v>-0.855985302991422</v>
      </c>
      <c r="K410" s="8">
        <v>1.97180956366955</v>
      </c>
      <c r="L410" s="26"/>
      <c r="M410" s="10">
        <f t="shared" si="36"/>
        <v>637.12</v>
      </c>
      <c r="N410" s="18">
        <f t="shared" si="37"/>
        <v>159.88</v>
      </c>
      <c r="BA410" s="16"/>
      <c r="BB410" s="16"/>
      <c r="BC410" s="16"/>
      <c r="BD410" s="16"/>
      <c r="BE410" s="16"/>
      <c r="BF410" s="16"/>
      <c r="BG410" s="16"/>
      <c r="BH410" s="16"/>
      <c r="BI410" s="16"/>
      <c r="BJ410" s="16"/>
      <c r="BK410" s="16"/>
      <c r="BL410" s="2"/>
      <c r="BM410" s="15"/>
      <c r="BN410" s="21"/>
      <c r="BO410" s="16"/>
      <c r="BP410" s="16"/>
      <c r="BQ410" s="16"/>
      <c r="BR410" s="16"/>
      <c r="BS410" s="16"/>
      <c r="BT410" s="16"/>
      <c r="BU410" s="8"/>
      <c r="BV410" s="8"/>
      <c r="BW410" s="8"/>
      <c r="BX410" s="8"/>
    </row>
    <row r="411" spans="1:76">
      <c r="A411" s="8" t="s">
        <v>19</v>
      </c>
      <c r="B411" s="8">
        <v>797</v>
      </c>
      <c r="C411" s="8" t="s">
        <v>19</v>
      </c>
      <c r="D411" s="8">
        <v>340</v>
      </c>
      <c r="E411" s="8" t="s">
        <v>20</v>
      </c>
      <c r="F411" s="8">
        <v>729</v>
      </c>
      <c r="G411" s="8" t="s">
        <v>21</v>
      </c>
      <c r="H411" s="8">
        <v>4056</v>
      </c>
      <c r="I411" s="8">
        <v>-0.0195515372974838</v>
      </c>
      <c r="J411" s="8">
        <v>-0.0174400426005947</v>
      </c>
      <c r="K411" s="8">
        <v>3.1299337907514</v>
      </c>
      <c r="L411" s="26"/>
      <c r="M411" s="10">
        <f t="shared" si="36"/>
        <v>688.08</v>
      </c>
      <c r="N411" s="18">
        <f t="shared" si="37"/>
        <v>108.92</v>
      </c>
      <c r="BA411" s="16"/>
      <c r="BB411" s="16"/>
      <c r="BC411" s="16"/>
      <c r="BD411" s="16"/>
      <c r="BE411" s="16"/>
      <c r="BF411" s="16"/>
      <c r="BG411" s="16"/>
      <c r="BH411" s="16"/>
      <c r="BI411" s="16"/>
      <c r="BJ411" s="16"/>
      <c r="BK411" s="16"/>
      <c r="BL411" s="2"/>
      <c r="BM411" s="15"/>
      <c r="BN411" s="21"/>
      <c r="BO411" s="16"/>
      <c r="BP411" s="16"/>
      <c r="BQ411" s="16"/>
      <c r="BR411" s="16"/>
      <c r="BS411" s="16"/>
      <c r="BT411" s="16"/>
      <c r="BU411" s="8"/>
      <c r="BV411" s="8"/>
      <c r="BW411" s="8"/>
      <c r="BX411" s="8"/>
    </row>
    <row r="412" spans="1:76">
      <c r="A412" s="8" t="s">
        <v>19</v>
      </c>
      <c r="B412" s="8">
        <v>797</v>
      </c>
      <c r="C412" s="8" t="s">
        <v>19</v>
      </c>
      <c r="D412" s="8">
        <v>340</v>
      </c>
      <c r="E412" s="8" t="s">
        <v>20</v>
      </c>
      <c r="F412" s="8">
        <v>784</v>
      </c>
      <c r="G412" s="8" t="s">
        <v>21</v>
      </c>
      <c r="H412" s="8">
        <v>4374</v>
      </c>
      <c r="I412" s="8">
        <v>-0.000231624146999092</v>
      </c>
      <c r="J412" s="8">
        <v>-0.000302944937122931</v>
      </c>
      <c r="K412" s="8">
        <v>2.75018070937188</v>
      </c>
      <c r="L412" s="26"/>
      <c r="M412" s="10">
        <f t="shared" si="36"/>
        <v>744.855</v>
      </c>
      <c r="N412" s="18">
        <f t="shared" si="37"/>
        <v>52.145</v>
      </c>
      <c r="BA412" s="16"/>
      <c r="BB412" s="16"/>
      <c r="BC412" s="16"/>
      <c r="BD412" s="16"/>
      <c r="BE412" s="16"/>
      <c r="BF412" s="16"/>
      <c r="BG412" s="16"/>
      <c r="BH412" s="16"/>
      <c r="BI412" s="16"/>
      <c r="BJ412" s="16"/>
      <c r="BK412" s="16"/>
      <c r="BL412" s="2"/>
      <c r="BM412" s="15"/>
      <c r="BN412" s="21"/>
      <c r="BO412" s="16"/>
      <c r="BP412" s="16"/>
      <c r="BQ412" s="16"/>
      <c r="BR412" s="16"/>
      <c r="BS412" s="16"/>
      <c r="BT412" s="16"/>
      <c r="BU412" s="8"/>
      <c r="BV412" s="8"/>
      <c r="BW412" s="8"/>
      <c r="BX412" s="8"/>
    </row>
    <row r="413" spans="1:76">
      <c r="A413" s="9" t="s">
        <v>19</v>
      </c>
      <c r="B413" s="9">
        <v>797</v>
      </c>
      <c r="C413" s="9" t="s">
        <v>19</v>
      </c>
      <c r="D413" s="9">
        <v>340</v>
      </c>
      <c r="E413" s="9" t="s">
        <v>20</v>
      </c>
      <c r="F413" s="9">
        <v>841</v>
      </c>
      <c r="G413" s="9" t="s">
        <v>21</v>
      </c>
      <c r="H413" s="9">
        <v>4704</v>
      </c>
      <c r="I413" s="9">
        <v>-6.01994043424557e-5</v>
      </c>
      <c r="J413" s="9">
        <v>-7.23543913891991e-5</v>
      </c>
      <c r="K413" s="9">
        <v>2.4263423586826</v>
      </c>
      <c r="L413" s="27"/>
      <c r="M413" s="11">
        <f t="shared" si="36"/>
        <v>799.875</v>
      </c>
      <c r="N413" s="18">
        <f t="shared" si="37"/>
        <v>2.875</v>
      </c>
      <c r="BA413" s="21"/>
      <c r="BB413" s="21"/>
      <c r="BC413" s="21"/>
      <c r="BD413" s="21"/>
      <c r="BE413" s="21"/>
      <c r="BF413" s="21"/>
      <c r="BG413" s="21"/>
      <c r="BH413" s="21"/>
      <c r="BI413" s="21"/>
      <c r="BJ413" s="21"/>
      <c r="BK413" s="21"/>
      <c r="BL413" s="28"/>
      <c r="BM413" s="22"/>
      <c r="BN413" s="21"/>
      <c r="BO413" s="16"/>
      <c r="BP413" s="16"/>
      <c r="BQ413" s="16"/>
      <c r="BR413" s="16"/>
      <c r="BS413" s="16"/>
      <c r="BT413" s="16"/>
      <c r="BU413" s="8"/>
      <c r="BV413" s="8"/>
      <c r="BW413" s="8"/>
      <c r="BX413" s="8"/>
    </row>
    <row r="414" spans="1:76">
      <c r="A414" s="8" t="s">
        <v>19</v>
      </c>
      <c r="B414" s="8">
        <v>797</v>
      </c>
      <c r="C414" s="8" t="s">
        <v>19</v>
      </c>
      <c r="D414" s="8">
        <v>340</v>
      </c>
      <c r="E414" s="8" t="s">
        <v>20</v>
      </c>
      <c r="F414" s="8">
        <v>900</v>
      </c>
      <c r="G414" s="8" t="s">
        <v>21</v>
      </c>
      <c r="H414" s="8">
        <v>5046</v>
      </c>
      <c r="I414" s="8">
        <v>-4.27782167002282e-5</v>
      </c>
      <c r="J414" s="8">
        <v>-4.11531209882113e-5</v>
      </c>
      <c r="K414" s="8">
        <v>2.25273775840025</v>
      </c>
      <c r="L414" s="26"/>
      <c r="M414" s="10">
        <f t="shared" si="36"/>
        <v>856.855</v>
      </c>
      <c r="N414" s="18">
        <f t="shared" si="37"/>
        <v>59.8550000000002</v>
      </c>
      <c r="BA414" s="16"/>
      <c r="BB414" s="16"/>
      <c r="BC414" s="16"/>
      <c r="BD414" s="16"/>
      <c r="BE414" s="16"/>
      <c r="BF414" s="16"/>
      <c r="BG414" s="16"/>
      <c r="BH414" s="16"/>
      <c r="BI414" s="16"/>
      <c r="BJ414" s="16"/>
      <c r="BK414" s="16"/>
      <c r="BL414" s="2"/>
      <c r="BM414" s="15"/>
      <c r="BN414" s="21"/>
      <c r="BO414" s="16"/>
      <c r="BP414" s="16"/>
      <c r="BQ414" s="16"/>
      <c r="BR414" s="16"/>
      <c r="BS414" s="16"/>
      <c r="BT414" s="16"/>
      <c r="BU414" s="8"/>
      <c r="BV414" s="8"/>
      <c r="BW414" s="8"/>
      <c r="BX414" s="8"/>
    </row>
    <row r="415" spans="1:76">
      <c r="A415" s="8" t="s">
        <v>19</v>
      </c>
      <c r="B415" s="8">
        <v>797</v>
      </c>
      <c r="C415" s="8" t="s">
        <v>19</v>
      </c>
      <c r="D415" s="8">
        <v>340</v>
      </c>
      <c r="E415" s="8" t="s">
        <v>20</v>
      </c>
      <c r="F415" s="8">
        <v>961</v>
      </c>
      <c r="G415" s="8" t="s">
        <v>21</v>
      </c>
      <c r="H415" s="8">
        <v>5400</v>
      </c>
      <c r="I415" s="8">
        <v>-3.23669010233334e-5</v>
      </c>
      <c r="J415" s="8">
        <v>-3.15774766888986e-5</v>
      </c>
      <c r="K415" s="8">
        <v>2.20281323848583</v>
      </c>
      <c r="L415" s="26"/>
      <c r="M415" s="10">
        <f t="shared" si="36"/>
        <v>915.795</v>
      </c>
      <c r="N415" s="18">
        <f t="shared" si="37"/>
        <v>118.795</v>
      </c>
      <c r="BA415" s="16"/>
      <c r="BB415" s="16"/>
      <c r="BC415" s="16"/>
      <c r="BD415" s="16"/>
      <c r="BE415" s="16"/>
      <c r="BF415" s="16"/>
      <c r="BG415" s="16"/>
      <c r="BH415" s="16"/>
      <c r="BI415" s="16"/>
      <c r="BJ415" s="16"/>
      <c r="BK415" s="16"/>
      <c r="BL415" s="2"/>
      <c r="BM415" s="15"/>
      <c r="BN415" s="21"/>
      <c r="BO415" s="16"/>
      <c r="BP415" s="16"/>
      <c r="BQ415" s="16"/>
      <c r="BR415" s="16"/>
      <c r="BS415" s="16"/>
      <c r="BT415" s="16"/>
      <c r="BU415" s="8"/>
      <c r="BV415" s="8"/>
      <c r="BW415" s="8"/>
      <c r="BX415" s="8"/>
    </row>
    <row r="416" spans="1:76">
      <c r="A416" s="8" t="s">
        <v>19</v>
      </c>
      <c r="B416" s="8">
        <v>797</v>
      </c>
      <c r="C416" s="8" t="s">
        <v>19</v>
      </c>
      <c r="D416" s="8">
        <v>340</v>
      </c>
      <c r="E416" s="8" t="s">
        <v>20</v>
      </c>
      <c r="F416" s="8">
        <v>1024</v>
      </c>
      <c r="G416" s="8" t="s">
        <v>21</v>
      </c>
      <c r="H416" s="8">
        <v>5766</v>
      </c>
      <c r="I416" s="8">
        <v>-2.03122372948321e-5</v>
      </c>
      <c r="J416" s="8">
        <v>-2.08541595050605e-5</v>
      </c>
      <c r="K416" s="8">
        <v>2.12734408751891</v>
      </c>
      <c r="L416" s="26"/>
      <c r="M416" s="10">
        <f t="shared" si="36"/>
        <v>976.695</v>
      </c>
      <c r="N416" s="18">
        <f t="shared" si="37"/>
        <v>179.695</v>
      </c>
      <c r="BA416" s="16"/>
      <c r="BB416" s="16"/>
      <c r="BC416" s="16"/>
      <c r="BD416" s="16"/>
      <c r="BE416" s="16"/>
      <c r="BF416" s="16"/>
      <c r="BG416" s="16"/>
      <c r="BH416" s="16"/>
      <c r="BI416" s="16"/>
      <c r="BJ416" s="16"/>
      <c r="BK416" s="16"/>
      <c r="BL416" s="2"/>
      <c r="BM416" s="15"/>
      <c r="BN416" s="21"/>
      <c r="BO416" s="16"/>
      <c r="BP416" s="16"/>
      <c r="BQ416" s="16"/>
      <c r="BR416" s="16"/>
      <c r="BS416" s="16"/>
      <c r="BT416" s="16"/>
      <c r="BU416" s="8"/>
      <c r="BV416" s="8"/>
      <c r="BW416" s="8"/>
      <c r="BX416" s="8"/>
    </row>
    <row r="417" spans="1:76">
      <c r="A417" s="8" t="s">
        <v>19</v>
      </c>
      <c r="B417" s="8">
        <v>797</v>
      </c>
      <c r="C417" s="8" t="s">
        <v>19</v>
      </c>
      <c r="D417" s="8">
        <v>340</v>
      </c>
      <c r="E417" s="8" t="s">
        <v>20</v>
      </c>
      <c r="F417" s="8">
        <v>1089</v>
      </c>
      <c r="G417" s="8" t="s">
        <v>21</v>
      </c>
      <c r="H417" s="8">
        <v>6144</v>
      </c>
      <c r="I417" s="8">
        <v>-1.312879746013e-5</v>
      </c>
      <c r="J417" s="8">
        <v>-1.37813320185852e-5</v>
      </c>
      <c r="K417" s="8">
        <v>2.04186949602389</v>
      </c>
      <c r="L417" s="26"/>
      <c r="M417" s="10">
        <f t="shared" si="36"/>
        <v>1039.555</v>
      </c>
      <c r="N417" s="18">
        <f t="shared" si="37"/>
        <v>242.555</v>
      </c>
      <c r="BA417" s="16"/>
      <c r="BB417" s="16"/>
      <c r="BC417" s="16"/>
      <c r="BD417" s="16"/>
      <c r="BE417" s="16"/>
      <c r="BF417" s="16"/>
      <c r="BG417" s="16"/>
      <c r="BH417" s="16"/>
      <c r="BI417" s="16"/>
      <c r="BJ417" s="16"/>
      <c r="BK417" s="16"/>
      <c r="BL417" s="2"/>
      <c r="BM417" s="15"/>
      <c r="BN417" s="21"/>
      <c r="BO417" s="16"/>
      <c r="BP417" s="16"/>
      <c r="BQ417" s="16"/>
      <c r="BR417" s="16"/>
      <c r="BS417" s="16"/>
      <c r="BT417" s="16"/>
      <c r="BU417" s="8"/>
      <c r="BV417" s="8"/>
      <c r="BW417" s="8"/>
      <c r="BX417" s="8"/>
    </row>
    <row r="418" ht="23.25" spans="1:76">
      <c r="A418" s="7" t="s">
        <v>40</v>
      </c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26"/>
      <c r="M418" s="10"/>
      <c r="N418" s="18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0"/>
      <c r="BB418" s="20"/>
      <c r="BC418" s="20"/>
      <c r="BD418" s="20"/>
      <c r="BE418" s="20"/>
      <c r="BF418" s="20"/>
      <c r="BG418" s="20"/>
      <c r="BH418" s="20"/>
      <c r="BI418" s="20"/>
      <c r="BJ418" s="20"/>
      <c r="BK418" s="20"/>
      <c r="BL418" s="2"/>
      <c r="BM418" s="15"/>
      <c r="BN418" s="21"/>
      <c r="BO418" s="16"/>
      <c r="BP418" s="16"/>
      <c r="BQ418" s="16"/>
      <c r="BR418" s="16"/>
      <c r="BS418" s="16"/>
      <c r="BT418" s="16"/>
      <c r="BU418" s="8"/>
      <c r="BV418" s="8"/>
      <c r="BW418" s="8"/>
      <c r="BX418" s="8"/>
    </row>
    <row r="419" ht="23.25" spans="1:76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26"/>
      <c r="M419" s="10"/>
      <c r="N419" s="18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0"/>
      <c r="BB419" s="20"/>
      <c r="BC419" s="20"/>
      <c r="BD419" s="20"/>
      <c r="BE419" s="20"/>
      <c r="BF419" s="20"/>
      <c r="BG419" s="20"/>
      <c r="BH419" s="20"/>
      <c r="BI419" s="20"/>
      <c r="BJ419" s="20"/>
      <c r="BK419" s="20"/>
      <c r="BL419" s="2"/>
      <c r="BM419" s="15"/>
      <c r="BN419" s="21"/>
      <c r="BO419" s="14"/>
      <c r="BP419" s="14"/>
      <c r="BQ419" s="14"/>
      <c r="BR419" s="14"/>
      <c r="BS419" s="14"/>
      <c r="BT419" s="14"/>
      <c r="BU419" s="24"/>
      <c r="BV419" s="24"/>
      <c r="BW419" s="24"/>
      <c r="BX419" s="24"/>
    </row>
    <row r="420" ht="23.25" spans="1:76">
      <c r="A420" s="8" t="s">
        <v>7</v>
      </c>
      <c r="B420" s="8" t="s">
        <v>8</v>
      </c>
      <c r="C420" s="8" t="s">
        <v>9</v>
      </c>
      <c r="D420" s="8" t="s">
        <v>10</v>
      </c>
      <c r="E420" s="8" t="s">
        <v>11</v>
      </c>
      <c r="F420" s="8" t="s">
        <v>12</v>
      </c>
      <c r="G420" s="8" t="s">
        <v>13</v>
      </c>
      <c r="H420" s="8" t="s">
        <v>14</v>
      </c>
      <c r="I420" s="8" t="s">
        <v>15</v>
      </c>
      <c r="J420" s="8" t="s">
        <v>16</v>
      </c>
      <c r="K420" s="8" t="s">
        <v>17</v>
      </c>
      <c r="L420" s="26"/>
      <c r="M420" s="10"/>
      <c r="N420" s="18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16"/>
      <c r="BB420" s="16"/>
      <c r="BC420" s="16"/>
      <c r="BD420" s="16"/>
      <c r="BE420" s="16"/>
      <c r="BF420" s="16"/>
      <c r="BG420" s="16"/>
      <c r="BH420" s="16"/>
      <c r="BI420" s="16"/>
      <c r="BJ420" s="16"/>
      <c r="BK420" s="16"/>
      <c r="BL420" s="2"/>
      <c r="BM420" s="15"/>
      <c r="BN420" s="21"/>
      <c r="BO420" s="14"/>
      <c r="BP420" s="14"/>
      <c r="BQ420" s="14"/>
      <c r="BR420" s="14"/>
      <c r="BS420" s="14"/>
      <c r="BT420" s="14"/>
      <c r="BU420" s="24"/>
      <c r="BV420" s="24"/>
      <c r="BW420" s="24"/>
      <c r="BX420" s="24"/>
    </row>
    <row r="421" spans="1:76">
      <c r="A421" s="8" t="s">
        <v>19</v>
      </c>
      <c r="B421" s="8">
        <v>861</v>
      </c>
      <c r="C421" s="8" t="s">
        <v>19</v>
      </c>
      <c r="D421" s="8">
        <v>340</v>
      </c>
      <c r="E421" s="8" t="s">
        <v>20</v>
      </c>
      <c r="F421" s="8">
        <v>676</v>
      </c>
      <c r="G421" s="8" t="s">
        <v>21</v>
      </c>
      <c r="H421" s="8">
        <v>3750</v>
      </c>
      <c r="I421" s="8">
        <v>-1.51831083816196</v>
      </c>
      <c r="J421" s="8">
        <v>-1.23576659488493</v>
      </c>
      <c r="K421" s="8">
        <v>1.69401907302976</v>
      </c>
      <c r="L421" s="26"/>
      <c r="M421" s="10">
        <f t="shared" ref="M421:M428" si="38">(FLOOR(((SQRT(1+8*F421)-3))/2,0.1)*(FLOOR(((SQRT(1+8*F421)-3))/2,0.1)+1))/2</f>
        <v>637.12</v>
      </c>
      <c r="N421" s="18">
        <f t="shared" ref="N421:N428" si="39">ABS(B421-M421)</f>
        <v>223.88</v>
      </c>
      <c r="BA421" s="16"/>
      <c r="BB421" s="16"/>
      <c r="BC421" s="16"/>
      <c r="BD421" s="16"/>
      <c r="BE421" s="16"/>
      <c r="BF421" s="16"/>
      <c r="BG421" s="16"/>
      <c r="BH421" s="16"/>
      <c r="BI421" s="16"/>
      <c r="BJ421" s="16"/>
      <c r="BK421" s="16"/>
      <c r="BL421" s="2"/>
      <c r="BM421" s="15"/>
      <c r="BN421" s="21"/>
      <c r="BO421" s="15"/>
      <c r="BP421" s="15"/>
      <c r="BQ421" s="15"/>
      <c r="BR421" s="15"/>
      <c r="BS421" s="15"/>
      <c r="BT421" s="15"/>
      <c r="BU421" s="10"/>
      <c r="BV421" s="10"/>
      <c r="BW421" s="10"/>
      <c r="BX421" s="10"/>
    </row>
    <row r="422" spans="1:76">
      <c r="A422" s="8" t="s">
        <v>19</v>
      </c>
      <c r="B422" s="8">
        <v>861</v>
      </c>
      <c r="C422" s="8" t="s">
        <v>19</v>
      </c>
      <c r="D422" s="8">
        <v>340</v>
      </c>
      <c r="E422" s="8" t="s">
        <v>20</v>
      </c>
      <c r="F422" s="8">
        <v>729</v>
      </c>
      <c r="G422" s="8" t="s">
        <v>21</v>
      </c>
      <c r="H422" s="8">
        <v>4056</v>
      </c>
      <c r="I422" s="8">
        <v>-0.508635978379783</v>
      </c>
      <c r="J422" s="8">
        <v>-0.479439236585016</v>
      </c>
      <c r="K422" s="8">
        <v>2.53925669324021</v>
      </c>
      <c r="L422" s="26"/>
      <c r="M422" s="10">
        <f t="shared" si="38"/>
        <v>688.08</v>
      </c>
      <c r="N422" s="18">
        <f t="shared" si="39"/>
        <v>172.92</v>
      </c>
      <c r="BA422" s="16"/>
      <c r="BB422" s="16"/>
      <c r="BC422" s="16"/>
      <c r="BD422" s="16"/>
      <c r="BE422" s="16"/>
      <c r="BF422" s="16"/>
      <c r="BG422" s="16"/>
      <c r="BH422" s="16"/>
      <c r="BI422" s="16"/>
      <c r="BJ422" s="16"/>
      <c r="BK422" s="16"/>
      <c r="BL422" s="2"/>
      <c r="BM422" s="15"/>
      <c r="BN422" s="21"/>
      <c r="BO422" s="16"/>
      <c r="BP422" s="16"/>
      <c r="BQ422" s="16"/>
      <c r="BR422" s="16"/>
      <c r="BS422" s="16"/>
      <c r="BT422" s="16"/>
      <c r="BU422" s="8"/>
      <c r="BV422" s="8"/>
      <c r="BW422" s="8"/>
      <c r="BX422" s="8"/>
    </row>
    <row r="423" spans="1:76">
      <c r="A423" s="8" t="s">
        <v>19</v>
      </c>
      <c r="B423" s="8">
        <v>861</v>
      </c>
      <c r="C423" s="8" t="s">
        <v>19</v>
      </c>
      <c r="D423" s="8">
        <v>340</v>
      </c>
      <c r="E423" s="8" t="s">
        <v>20</v>
      </c>
      <c r="F423" s="8">
        <v>784</v>
      </c>
      <c r="G423" s="8" t="s">
        <v>21</v>
      </c>
      <c r="H423" s="8">
        <v>4374</v>
      </c>
      <c r="I423" s="8">
        <v>-0.000834560568723115</v>
      </c>
      <c r="J423" s="8">
        <v>-0.00105656996888279</v>
      </c>
      <c r="K423" s="8">
        <v>3.00429905978843</v>
      </c>
      <c r="L423" s="26"/>
      <c r="M423" s="10">
        <f t="shared" si="38"/>
        <v>744.855</v>
      </c>
      <c r="N423" s="18">
        <f t="shared" si="39"/>
        <v>116.145</v>
      </c>
      <c r="BA423" s="16"/>
      <c r="BB423" s="16"/>
      <c r="BC423" s="16"/>
      <c r="BD423" s="16"/>
      <c r="BE423" s="16"/>
      <c r="BF423" s="16"/>
      <c r="BG423" s="16"/>
      <c r="BH423" s="16"/>
      <c r="BI423" s="16"/>
      <c r="BJ423" s="16"/>
      <c r="BK423" s="16"/>
      <c r="BL423" s="2"/>
      <c r="BM423" s="15"/>
      <c r="BN423" s="21"/>
      <c r="BO423" s="16"/>
      <c r="BP423" s="16"/>
      <c r="BQ423" s="16"/>
      <c r="BR423" s="16"/>
      <c r="BS423" s="16"/>
      <c r="BT423" s="16"/>
      <c r="BU423" s="8"/>
      <c r="BV423" s="8"/>
      <c r="BW423" s="8"/>
      <c r="BX423" s="8"/>
    </row>
    <row r="424" spans="1:76">
      <c r="A424" s="8" t="s">
        <v>19</v>
      </c>
      <c r="B424" s="8">
        <v>861</v>
      </c>
      <c r="C424" s="8" t="s">
        <v>19</v>
      </c>
      <c r="D424" s="8">
        <v>340</v>
      </c>
      <c r="E424" s="8" t="s">
        <v>20</v>
      </c>
      <c r="F424" s="8">
        <v>841</v>
      </c>
      <c r="G424" s="8" t="s">
        <v>21</v>
      </c>
      <c r="H424" s="8">
        <v>4704</v>
      </c>
      <c r="I424" s="8">
        <v>-0.000194363987835191</v>
      </c>
      <c r="J424" s="8">
        <v>-0.000205066658799013</v>
      </c>
      <c r="K424" s="8">
        <v>2.62370971248056</v>
      </c>
      <c r="L424" s="26"/>
      <c r="M424" s="10">
        <f t="shared" si="38"/>
        <v>799.875</v>
      </c>
      <c r="N424" s="18">
        <f t="shared" si="39"/>
        <v>61.125</v>
      </c>
      <c r="BA424" s="16"/>
      <c r="BB424" s="16"/>
      <c r="BC424" s="16"/>
      <c r="BD424" s="16"/>
      <c r="BE424" s="16"/>
      <c r="BF424" s="16"/>
      <c r="BG424" s="16"/>
      <c r="BH424" s="16"/>
      <c r="BI424" s="16"/>
      <c r="BJ424" s="16"/>
      <c r="BK424" s="16"/>
      <c r="BL424" s="2"/>
      <c r="BM424" s="15"/>
      <c r="BN424" s="21"/>
      <c r="BO424" s="16"/>
      <c r="BP424" s="16"/>
      <c r="BQ424" s="16"/>
      <c r="BR424" s="16"/>
      <c r="BS424" s="16"/>
      <c r="BT424" s="16"/>
      <c r="BU424" s="8"/>
      <c r="BV424" s="8"/>
      <c r="BW424" s="8"/>
      <c r="BX424" s="8"/>
    </row>
    <row r="425" spans="1:76">
      <c r="A425" s="9" t="s">
        <v>19</v>
      </c>
      <c r="B425" s="9">
        <v>861</v>
      </c>
      <c r="C425" s="9" t="s">
        <v>19</v>
      </c>
      <c r="D425" s="9">
        <v>340</v>
      </c>
      <c r="E425" s="9" t="s">
        <v>20</v>
      </c>
      <c r="F425" s="9">
        <v>900</v>
      </c>
      <c r="G425" s="9" t="s">
        <v>21</v>
      </c>
      <c r="H425" s="9">
        <v>5046</v>
      </c>
      <c r="I425" s="9">
        <v>-8.17856480121913e-5</v>
      </c>
      <c r="J425" s="9">
        <v>-9.12891204686974e-5</v>
      </c>
      <c r="K425" s="9">
        <v>2.45825589960473</v>
      </c>
      <c r="L425" s="27"/>
      <c r="M425" s="11">
        <f t="shared" si="38"/>
        <v>856.855</v>
      </c>
      <c r="N425" s="18">
        <f t="shared" si="39"/>
        <v>4.14499999999975</v>
      </c>
      <c r="BA425" s="21"/>
      <c r="BB425" s="21"/>
      <c r="BC425" s="21"/>
      <c r="BD425" s="21"/>
      <c r="BE425" s="21"/>
      <c r="BF425" s="21"/>
      <c r="BG425" s="21"/>
      <c r="BH425" s="21"/>
      <c r="BI425" s="21"/>
      <c r="BJ425" s="21"/>
      <c r="BK425" s="21"/>
      <c r="BL425" s="28"/>
      <c r="BM425" s="22"/>
      <c r="BN425" s="21"/>
      <c r="BO425" s="16"/>
      <c r="BP425" s="16"/>
      <c r="BQ425" s="16"/>
      <c r="BR425" s="16"/>
      <c r="BS425" s="16"/>
      <c r="BT425" s="16"/>
      <c r="BU425" s="8"/>
      <c r="BV425" s="8"/>
      <c r="BW425" s="8"/>
      <c r="BX425" s="8"/>
    </row>
    <row r="426" spans="1:76">
      <c r="A426" s="8" t="s">
        <v>19</v>
      </c>
      <c r="B426" s="8">
        <v>861</v>
      </c>
      <c r="C426" s="8" t="s">
        <v>19</v>
      </c>
      <c r="D426" s="8">
        <v>340</v>
      </c>
      <c r="E426" s="8" t="s">
        <v>20</v>
      </c>
      <c r="F426" s="8">
        <v>961</v>
      </c>
      <c r="G426" s="8" t="s">
        <v>21</v>
      </c>
      <c r="H426" s="8">
        <v>5400</v>
      </c>
      <c r="I426" s="8">
        <v>-5.48484182293487e-5</v>
      </c>
      <c r="J426" s="8">
        <v>-5.44488723328979e-5</v>
      </c>
      <c r="K426" s="8">
        <v>2.32449713092511</v>
      </c>
      <c r="L426" s="26"/>
      <c r="M426" s="10">
        <f t="shared" si="38"/>
        <v>915.795</v>
      </c>
      <c r="N426" s="18">
        <f t="shared" si="39"/>
        <v>54.7950000000002</v>
      </c>
      <c r="BA426" s="16"/>
      <c r="BB426" s="16"/>
      <c r="BC426" s="16"/>
      <c r="BD426" s="16"/>
      <c r="BE426" s="16"/>
      <c r="BF426" s="16"/>
      <c r="BG426" s="16"/>
      <c r="BH426" s="16"/>
      <c r="BI426" s="16"/>
      <c r="BJ426" s="16"/>
      <c r="BK426" s="16"/>
      <c r="BL426" s="2"/>
      <c r="BM426" s="15"/>
      <c r="BN426" s="21"/>
      <c r="BO426" s="16"/>
      <c r="BP426" s="16"/>
      <c r="BQ426" s="16"/>
      <c r="BR426" s="16"/>
      <c r="BS426" s="16"/>
      <c r="BT426" s="16"/>
      <c r="BU426" s="8"/>
      <c r="BV426" s="8"/>
      <c r="BW426" s="8"/>
      <c r="BX426" s="8"/>
    </row>
    <row r="427" spans="1:76">
      <c r="A427" s="8" t="s">
        <v>19</v>
      </c>
      <c r="B427" s="8">
        <v>861</v>
      </c>
      <c r="C427" s="8" t="s">
        <v>19</v>
      </c>
      <c r="D427" s="8">
        <v>340</v>
      </c>
      <c r="E427" s="8" t="s">
        <v>20</v>
      </c>
      <c r="F427" s="8">
        <v>1024</v>
      </c>
      <c r="G427" s="8" t="s">
        <v>21</v>
      </c>
      <c r="H427" s="8">
        <v>5766</v>
      </c>
      <c r="I427" s="8">
        <v>-3.76222783834378e-5</v>
      </c>
      <c r="J427" s="8">
        <v>-3.7715501287491e-5</v>
      </c>
      <c r="K427" s="8">
        <v>2.24807456621661</v>
      </c>
      <c r="L427" s="26"/>
      <c r="M427" s="10">
        <f t="shared" si="38"/>
        <v>976.695</v>
      </c>
      <c r="N427" s="18">
        <f t="shared" si="39"/>
        <v>115.695</v>
      </c>
      <c r="BA427" s="16"/>
      <c r="BB427" s="16"/>
      <c r="BC427" s="16"/>
      <c r="BD427" s="16"/>
      <c r="BE427" s="16"/>
      <c r="BF427" s="16"/>
      <c r="BG427" s="16"/>
      <c r="BH427" s="16"/>
      <c r="BI427" s="16"/>
      <c r="BJ427" s="16"/>
      <c r="BK427" s="16"/>
      <c r="BL427" s="2"/>
      <c r="BM427" s="15"/>
      <c r="BN427" s="21"/>
      <c r="BO427" s="16"/>
      <c r="BP427" s="16"/>
      <c r="BQ427" s="16"/>
      <c r="BR427" s="16"/>
      <c r="BS427" s="16"/>
      <c r="BT427" s="16"/>
      <c r="BU427" s="8"/>
      <c r="BV427" s="8"/>
      <c r="BW427" s="8"/>
      <c r="BX427" s="8"/>
    </row>
    <row r="428" spans="1:76">
      <c r="A428" s="8" t="s">
        <v>19</v>
      </c>
      <c r="B428" s="8">
        <v>861</v>
      </c>
      <c r="C428" s="8" t="s">
        <v>19</v>
      </c>
      <c r="D428" s="8">
        <v>340</v>
      </c>
      <c r="E428" s="8" t="s">
        <v>20</v>
      </c>
      <c r="F428" s="8">
        <v>1089</v>
      </c>
      <c r="G428" s="8" t="s">
        <v>21</v>
      </c>
      <c r="H428" s="8">
        <v>6144</v>
      </c>
      <c r="I428" s="8">
        <v>-2.57477605283422e-5</v>
      </c>
      <c r="J428" s="8">
        <v>-2.65255011454148e-5</v>
      </c>
      <c r="K428" s="8">
        <v>2.1764632470645</v>
      </c>
      <c r="L428" s="26"/>
      <c r="M428" s="10">
        <f t="shared" si="38"/>
        <v>1039.555</v>
      </c>
      <c r="N428" s="18">
        <f t="shared" si="39"/>
        <v>178.555</v>
      </c>
      <c r="BA428" s="16"/>
      <c r="BB428" s="16"/>
      <c r="BC428" s="16"/>
      <c r="BD428" s="16"/>
      <c r="BE428" s="16"/>
      <c r="BF428" s="16"/>
      <c r="BG428" s="16"/>
      <c r="BH428" s="16"/>
      <c r="BI428" s="16"/>
      <c r="BJ428" s="16"/>
      <c r="BK428" s="16"/>
      <c r="BL428" s="2"/>
      <c r="BM428" s="15"/>
      <c r="BN428" s="21"/>
      <c r="BO428" s="16"/>
      <c r="BP428" s="16"/>
      <c r="BQ428" s="16"/>
      <c r="BR428" s="16"/>
      <c r="BS428" s="16"/>
      <c r="BT428" s="16"/>
      <c r="BU428" s="8"/>
      <c r="BV428" s="8"/>
      <c r="BW428" s="8"/>
      <c r="BX428" s="8"/>
    </row>
    <row r="429" spans="1:76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26"/>
      <c r="M429" s="26"/>
      <c r="N429" s="18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16"/>
      <c r="BB429" s="16"/>
      <c r="BC429" s="16"/>
      <c r="BD429" s="16"/>
      <c r="BE429" s="16"/>
      <c r="BF429" s="16"/>
      <c r="BG429" s="16"/>
      <c r="BH429" s="16"/>
      <c r="BI429" s="16"/>
      <c r="BJ429" s="16"/>
      <c r="BK429" s="16"/>
      <c r="BL429" s="2"/>
      <c r="BM429" s="2"/>
      <c r="BN429" s="21"/>
      <c r="BO429" s="16"/>
      <c r="BP429" s="16"/>
      <c r="BQ429" s="16"/>
      <c r="BR429" s="16"/>
      <c r="BS429" s="16"/>
      <c r="BT429" s="16"/>
      <c r="BU429" s="8"/>
      <c r="BV429" s="8"/>
      <c r="BW429" s="8"/>
      <c r="BX429" s="8"/>
    </row>
    <row r="430" spans="1:63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26"/>
      <c r="M430" s="26"/>
      <c r="N430" s="1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15"/>
      <c r="BB430" s="15"/>
      <c r="BC430" s="15"/>
      <c r="BD430" s="15"/>
      <c r="BE430" s="15"/>
      <c r="BF430" s="15"/>
      <c r="BG430" s="15"/>
      <c r="BH430" s="15"/>
      <c r="BI430" s="15"/>
      <c r="BJ430" s="15"/>
      <c r="BK430" s="15"/>
    </row>
    <row r="431" spans="1:63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26"/>
      <c r="M431" s="26"/>
      <c r="N431" s="1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15"/>
      <c r="BB431" s="15"/>
      <c r="BC431" s="15"/>
      <c r="BD431" s="15"/>
      <c r="BE431" s="15"/>
      <c r="BF431" s="15"/>
      <c r="BG431" s="15"/>
      <c r="BH431" s="15"/>
      <c r="BI431" s="15"/>
      <c r="BJ431" s="15"/>
      <c r="BK431" s="15"/>
    </row>
    <row r="432" spans="1:63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26"/>
      <c r="M432" s="26"/>
      <c r="N432" s="1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15"/>
      <c r="BB432" s="15"/>
      <c r="BC432" s="15"/>
      <c r="BD432" s="15"/>
      <c r="BE432" s="15"/>
      <c r="BF432" s="15"/>
      <c r="BG432" s="15"/>
      <c r="BH432" s="15"/>
      <c r="BI432" s="15"/>
      <c r="BJ432" s="15"/>
      <c r="BK432" s="15"/>
    </row>
    <row r="433" spans="1:6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26"/>
      <c r="M433" s="26"/>
      <c r="N433" s="1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15"/>
      <c r="BB433" s="15"/>
      <c r="BC433" s="15"/>
      <c r="BD433" s="15"/>
      <c r="BE433" s="15"/>
      <c r="BF433" s="15"/>
      <c r="BG433" s="15"/>
      <c r="BH433" s="15"/>
      <c r="BI433" s="15"/>
      <c r="BJ433" s="15"/>
      <c r="BK433" s="15"/>
    </row>
    <row r="434" spans="1:63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26"/>
      <c r="M434" s="26"/>
      <c r="N434" s="1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15"/>
      <c r="BB434" s="15"/>
      <c r="BC434" s="15"/>
      <c r="BD434" s="15"/>
      <c r="BE434" s="15"/>
      <c r="BF434" s="15"/>
      <c r="BG434" s="15"/>
      <c r="BH434" s="15"/>
      <c r="BI434" s="15"/>
      <c r="BJ434" s="15"/>
      <c r="BK434" s="15"/>
    </row>
    <row r="435" spans="1:63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26"/>
      <c r="M435" s="26"/>
      <c r="N435" s="1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15"/>
      <c r="BB435" s="15"/>
      <c r="BC435" s="15"/>
      <c r="BD435" s="15"/>
      <c r="BE435" s="15"/>
      <c r="BF435" s="15"/>
      <c r="BG435" s="15"/>
      <c r="BH435" s="15"/>
      <c r="BI435" s="15"/>
      <c r="BJ435" s="15"/>
      <c r="BK435" s="15"/>
    </row>
    <row r="436" spans="1:63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26"/>
      <c r="M436" s="26"/>
      <c r="N436" s="1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15"/>
      <c r="BB436" s="15"/>
      <c r="BC436" s="15"/>
      <c r="BD436" s="15"/>
      <c r="BE436" s="15"/>
      <c r="BF436" s="15"/>
      <c r="BG436" s="15"/>
      <c r="BH436" s="15"/>
      <c r="BI436" s="15"/>
      <c r="BJ436" s="15"/>
      <c r="BK436" s="15"/>
    </row>
    <row r="437" spans="1:63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26"/>
      <c r="M437" s="26"/>
      <c r="N437" s="1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15"/>
      <c r="BB437" s="15"/>
      <c r="BC437" s="15"/>
      <c r="BD437" s="15"/>
      <c r="BE437" s="15"/>
      <c r="BF437" s="15"/>
      <c r="BG437" s="15"/>
      <c r="BH437" s="15"/>
      <c r="BI437" s="15"/>
      <c r="BJ437" s="15"/>
      <c r="BK437" s="15"/>
    </row>
    <row r="438" spans="1:63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26"/>
      <c r="M438" s="26"/>
      <c r="N438" s="1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15"/>
      <c r="BB438" s="15"/>
      <c r="BC438" s="15"/>
      <c r="BD438" s="15"/>
      <c r="BE438" s="15"/>
      <c r="BF438" s="15"/>
      <c r="BG438" s="15"/>
      <c r="BH438" s="15"/>
      <c r="BI438" s="15"/>
      <c r="BJ438" s="15"/>
      <c r="BK438" s="15"/>
    </row>
    <row r="439" spans="1:63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26"/>
      <c r="M439" s="26"/>
      <c r="N439" s="1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15"/>
      <c r="BB439" s="15"/>
      <c r="BC439" s="15"/>
      <c r="BD439" s="15"/>
      <c r="BE439" s="15"/>
      <c r="BF439" s="15"/>
      <c r="BG439" s="15"/>
      <c r="BH439" s="15"/>
      <c r="BI439" s="15"/>
      <c r="BJ439" s="15"/>
      <c r="BK439" s="15"/>
    </row>
    <row r="440" spans="1:63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BA440" s="15"/>
      <c r="BB440" s="15"/>
      <c r="BC440" s="15"/>
      <c r="BD440" s="15"/>
      <c r="BE440" s="15"/>
      <c r="BF440" s="15"/>
      <c r="BG440" s="15"/>
      <c r="BH440" s="15"/>
      <c r="BI440" s="15"/>
      <c r="BJ440" s="15"/>
      <c r="BK440" s="15"/>
    </row>
    <row r="441" spans="1:63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BA441" s="15"/>
      <c r="BB441" s="15"/>
      <c r="BC441" s="15"/>
      <c r="BD441" s="15"/>
      <c r="BE441" s="15"/>
      <c r="BF441" s="15"/>
      <c r="BG441" s="15"/>
      <c r="BH441" s="15"/>
      <c r="BI441" s="15"/>
      <c r="BJ441" s="15"/>
      <c r="BK441" s="15"/>
    </row>
    <row r="442" spans="1:63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BA442" s="15"/>
      <c r="BB442" s="15"/>
      <c r="BC442" s="15"/>
      <c r="BD442" s="15"/>
      <c r="BE442" s="15"/>
      <c r="BF442" s="15"/>
      <c r="BG442" s="15"/>
      <c r="BH442" s="15"/>
      <c r="BI442" s="15"/>
      <c r="BJ442" s="15"/>
      <c r="BK442" s="15"/>
    </row>
  </sheetData>
  <mergeCells count="29">
    <mergeCell ref="A1:K2"/>
    <mergeCell ref="A3:K4"/>
    <mergeCell ref="A5:K6"/>
    <mergeCell ref="A7:K8"/>
    <mergeCell ref="A9:K10"/>
    <mergeCell ref="A11:K12"/>
    <mergeCell ref="A13:K14"/>
    <mergeCell ref="A15:K16"/>
    <mergeCell ref="A17:K18"/>
    <mergeCell ref="A19:K20"/>
    <mergeCell ref="A49:K50"/>
    <mergeCell ref="A78:K79"/>
    <mergeCell ref="A106:K107"/>
    <mergeCell ref="A133:K134"/>
    <mergeCell ref="A159:K160"/>
    <mergeCell ref="A184:K185"/>
    <mergeCell ref="A208:K209"/>
    <mergeCell ref="A231:K232"/>
    <mergeCell ref="A253:K254"/>
    <mergeCell ref="A274:K275"/>
    <mergeCell ref="A294:K295"/>
    <mergeCell ref="A313:K314"/>
    <mergeCell ref="A331:K332"/>
    <mergeCell ref="A348:K349"/>
    <mergeCell ref="A364:K365"/>
    <mergeCell ref="A379:K380"/>
    <mergeCell ref="A393:K394"/>
    <mergeCell ref="A406:K407"/>
    <mergeCell ref="A418:K419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new_sheet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浪裏小白龍</cp:lastModifiedBy>
  <dcterms:created xsi:type="dcterms:W3CDTF">2018-05-24T02:41:00Z</dcterms:created>
  <dcterms:modified xsi:type="dcterms:W3CDTF">2025-10-31T10:57:05Z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5F45DDBD9023C3BE386CCA68F9B6B60A_42</vt:lpwstr>
  </property>
  <property fmtid="{D5CDD505-2E9C-101B-9397-08002B2CF9AE}" pid="3" name="KSOProductBuildVer">
    <vt:lpwstr>2052-12.1.0.17900</vt:lpwstr>
  </property>
</Properties>
</file>