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25"/>
  </bookViews>
  <sheets>
    <sheet name="new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<sst xmlns="http://schemas.openxmlformats.org/spreadsheetml/2006/main" count="3302" uniqueCount="46">
  <si>
    <t>ndiv_φ=2</t>
  </si>
  <si>
    <t>ndiv_φ=4</t>
  </si>
  <si>
    <t>ndiv_φ=8</t>
  </si>
  <si>
    <t>ndiv_φ=12</t>
  </si>
  <si>
    <t>ndiv_φ=16</t>
  </si>
  <si>
    <t>ndiv_φ=16（全非均布）</t>
  </si>
  <si>
    <t>ndiv_w=2</t>
  </si>
  <si>
    <t>跑不出数据</t>
  </si>
  <si>
    <t>ndiv_w=3</t>
  </si>
  <si>
    <t>ndiv_w=4</t>
  </si>
  <si>
    <t>ndiv_w=5</t>
  </si>
  <si>
    <t>ndiv_w=6</t>
  </si>
  <si>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</si>
  <si>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</si>
  <si>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</si>
  <si>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</si>
  <si>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</si>
  <si>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</si>
  <si>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</si>
  <si>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</si>
  <si>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</si>
  <si>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</si>
  <si>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</si>
  <si>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理论最优nw</t>
  </si>
  <si>
    <t>ReproducingKernel{:Linear2D, :□, :CubicSpline}</t>
  </si>
  <si>
    <t>tri3</t>
  </si>
  <si>
    <t>PiecewisePolynomial{:Linear2D}</t>
  </si>
  <si>
    <t>ndiv_w=7</t>
  </si>
  <si>
    <t>ndiv_w=8</t>
  </si>
  <si>
    <t>ndiv_w=9</t>
  </si>
  <si>
    <t>ndiv_w=10</t>
  </si>
  <si>
    <t>ndiv_w=11</t>
  </si>
  <si>
    <t>ndiv_w=12</t>
  </si>
  <si>
    <t>ndiv_w=13</t>
  </si>
  <si>
    <t>ndiv_w=14</t>
  </si>
  <si>
    <t>ndiv_w=15</t>
  </si>
  <si>
    <t>ndiv_w=16</t>
  </si>
  <si>
    <t>ndiv_w=17</t>
  </si>
  <si>
    <t>ndiv_w=18</t>
  </si>
  <si>
    <t>ndiv_w=19</t>
  </si>
  <si>
    <t>ndiv_w=20</t>
  </si>
  <si>
    <t>ndiv_w=21</t>
  </si>
  <si>
    <t>ndiv_w=22</t>
  </si>
  <si>
    <t>ndiv_w=23</t>
  </si>
  <si>
    <t>ndiv_w=24</t>
  </si>
  <si>
    <t>ndiv_w=25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</si>
</sst>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0"/>
      <name val="等线"/>
      <charset val="134"/>
      <scheme val="minor"/>
    </font>
    <font>
      <sz val="20"/>
      <color theme="1"/>
      <name val="等线"/>
      <charset val="134"/>
      <scheme val="minor"/>
    </font>
    <font>
      <sz val="20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Fill="1" applyAlignment="1"/>
    <xf numFmtId="0" fontId="0" fillId="0" borderId="0" xfId="0" applyFill="1" applyAlignment="1"/>
    <xf numFmtId="0" fontId="2" fillId="2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0" xfId="0" applyFont="1" applyFill="1" applyAlignment="1"/>
    <xf numFmtId="0" fontId="0" fillId="4" borderId="0" xfId="0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1" fillId="0" borderId="0" xfId="0" applyFont="1" applyFill="1" applyAlignment="1"/>
    <xf numFmtId="0" fontId="0" fillId="0" borderId="0" xfId="0" applyAlignment="1"/>
    <xf numFmtId="0" fontId="0" fillId="5" borderId="0" xfId="0" applyFont="1" applyFill="1" applyAlignment="1"/>
    <xf numFmtId="0" fontId="0" fillId="0" borderId="0" xfId="0" applyFill="1"/>
    <xf numFmtId="0" fontId="2" fillId="0" borderId="0" xfId="0" applyFont="1" applyFill="1" applyAlignment="1">
      <alignment horizont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42"/>
  <sheetViews>
    <sheetView tabSelected="1" zoomScale="70" zoomScaleNormal="70" topLeftCell="AV1" workbookViewId="0">
      <selection activeCell="BY34" sqref="BY34"/>
    </sheetView>
  </sheetViews>
  <sheetFormatPr defaultColWidth="11" defaultRowHeight="14.25"/>
  <cols>
    <col min="66" max="66" width="11" style="1"/>
  </cols>
  <sheetData>
    <row r="1" ht="23.25" spans="1:7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N1" s="5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AA1" s="5" t="s">
        <v>2</v>
      </c>
      <c r="AB1" s="5"/>
      <c r="AC1" s="5"/>
      <c r="AD1" s="5"/>
      <c r="AE1" s="5"/>
      <c r="AF1" s="5"/>
      <c r="AG1" s="5"/>
      <c r="AH1" s="5"/>
      <c r="AI1" s="5"/>
      <c r="AJ1" s="5"/>
      <c r="AK1" s="5"/>
      <c r="AN1" s="5" t="s">
        <v>3</v>
      </c>
      <c r="AO1" s="5"/>
      <c r="AP1" s="5"/>
      <c r="AQ1" s="5"/>
      <c r="AR1" s="5"/>
      <c r="AS1" s="5"/>
      <c r="AT1" s="5"/>
      <c r="AU1" s="5"/>
      <c r="AV1" s="5"/>
      <c r="AW1" s="5"/>
      <c r="AX1" s="5"/>
      <c r="BA1" s="5" t="s">
        <v>4</v>
      </c>
      <c r="BB1" s="5"/>
      <c r="BC1" s="5"/>
      <c r="BD1" s="5"/>
      <c r="BE1" s="5"/>
      <c r="BF1" s="5"/>
      <c r="BG1" s="5"/>
      <c r="BH1" s="5"/>
      <c r="BI1" s="5"/>
      <c r="BJ1" s="5"/>
      <c r="BK1" s="5"/>
      <c r="BN1" s="13"/>
      <c r="BO1" s="7"/>
      <c r="BP1" s="5" t="s">
        <v>5</v>
      </c>
      <c r="BQ1" s="5"/>
      <c r="BR1" s="5"/>
      <c r="BS1" s="5"/>
      <c r="BT1" s="5"/>
      <c r="BU1" s="5"/>
      <c r="BV1" s="5"/>
      <c r="BW1" s="5"/>
      <c r="BX1" s="5"/>
      <c r="BY1" s="5"/>
      <c r="BZ1" s="5"/>
    </row>
    <row r="2" ht="23.25" spans="1:7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N2" s="13"/>
      <c r="BO2" s="7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</row>
    <row r="3" ht="23.25" spans="1:10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4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4"/>
      <c r="AM3" s="4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4"/>
      <c r="AZ3" s="4"/>
      <c r="BA3" s="8" t="s">
        <v>6</v>
      </c>
      <c r="BB3" s="8"/>
      <c r="BC3" s="8"/>
      <c r="BD3" s="8"/>
      <c r="BE3" s="8"/>
      <c r="BF3" s="8"/>
      <c r="BG3" s="8"/>
      <c r="BH3" s="8"/>
      <c r="BI3" s="8"/>
      <c r="BJ3" s="8"/>
      <c r="BK3" s="8"/>
      <c r="BL3" s="4"/>
      <c r="BM3" s="4"/>
      <c r="BN3" s="13"/>
      <c r="BO3" s="7"/>
      <c r="BP3" s="8" t="s">
        <v>6</v>
      </c>
      <c r="BQ3" s="8"/>
      <c r="BR3" s="8"/>
      <c r="BS3" s="8"/>
      <c r="BT3" s="8"/>
      <c r="BU3" s="8"/>
      <c r="BV3" s="8"/>
      <c r="BW3" s="8"/>
      <c r="BX3" s="8"/>
      <c r="BY3" s="8"/>
      <c r="BZ3" s="8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</row>
    <row r="4" ht="23.25" spans="1:10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/>
      <c r="Z4" s="4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4"/>
      <c r="AM4" s="4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4"/>
      <c r="AZ4" s="4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4"/>
      <c r="BM4" s="4"/>
      <c r="BN4" s="13"/>
      <c r="BO4" s="7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</row>
    <row r="5" ht="23.25" spans="1:10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3"/>
      <c r="AM5" s="4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4"/>
      <c r="AZ5" s="4"/>
      <c r="BA5" s="9" t="s">
        <v>7</v>
      </c>
      <c r="BB5" s="9"/>
      <c r="BC5" s="9"/>
      <c r="BD5" s="9"/>
      <c r="BE5" s="9"/>
      <c r="BF5" s="9"/>
      <c r="BG5" s="9"/>
      <c r="BH5" s="9"/>
      <c r="BI5" s="9"/>
      <c r="BJ5" s="9"/>
      <c r="BK5" s="9"/>
      <c r="BL5" s="4"/>
      <c r="BM5" s="4"/>
      <c r="BN5" s="13"/>
      <c r="BO5" s="7"/>
      <c r="BP5" s="9" t="s">
        <v>7</v>
      </c>
      <c r="BQ5" s="9"/>
      <c r="BR5" s="9"/>
      <c r="BS5" s="9"/>
      <c r="BT5" s="9"/>
      <c r="BU5" s="9"/>
      <c r="BV5" s="9"/>
      <c r="BW5" s="9"/>
      <c r="BX5" s="9"/>
      <c r="BY5" s="9"/>
      <c r="BZ5" s="9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</row>
    <row r="6" ht="23.25" spans="1:10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4"/>
      <c r="Z6" s="4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3"/>
      <c r="AM6" s="4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4"/>
      <c r="AZ6" s="4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4"/>
      <c r="BM6" s="4"/>
      <c r="BN6" s="13"/>
      <c r="BO6" s="7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</row>
    <row r="7" ht="23.25" spans="1:10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4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4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4"/>
      <c r="AZ7" s="4"/>
      <c r="BA7" s="10" t="s">
        <v>8</v>
      </c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4"/>
      <c r="BM7" s="4"/>
      <c r="BN7" s="14"/>
      <c r="BO7" s="3"/>
      <c r="BP7" s="10" t="s">
        <v>8</v>
      </c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</row>
    <row r="8" ht="23.25" spans="1:10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4"/>
      <c r="Z8" s="4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4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4"/>
      <c r="AZ8" s="4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4"/>
      <c r="BM8" s="4"/>
      <c r="BN8" s="14"/>
      <c r="BO8" s="3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</row>
    <row r="9" ht="23.25" spans="1:10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4"/>
      <c r="Z9" s="4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4"/>
      <c r="AM9" s="4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4"/>
      <c r="AZ9" s="4"/>
      <c r="BA9" s="9" t="s">
        <v>7</v>
      </c>
      <c r="BB9" s="9"/>
      <c r="BC9" s="9"/>
      <c r="BD9" s="9"/>
      <c r="BE9" s="9"/>
      <c r="BF9" s="9"/>
      <c r="BG9" s="9"/>
      <c r="BH9" s="9"/>
      <c r="BI9" s="9"/>
      <c r="BJ9" s="9"/>
      <c r="BK9" s="9"/>
      <c r="BL9" s="4"/>
      <c r="BM9" s="4"/>
      <c r="BN9" s="13"/>
      <c r="BO9" s="7"/>
      <c r="BP9" s="9" t="s">
        <v>7</v>
      </c>
      <c r="BQ9" s="9"/>
      <c r="BR9" s="9"/>
      <c r="BS9" s="9"/>
      <c r="BT9" s="9"/>
      <c r="BU9" s="9"/>
      <c r="BV9" s="9"/>
      <c r="BW9" s="9"/>
      <c r="BX9" s="9"/>
      <c r="BY9" s="9"/>
      <c r="BZ9" s="9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</row>
    <row r="10" ht="23.25" spans="1:10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4"/>
      <c r="Z10" s="4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4"/>
      <c r="AM10" s="4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4"/>
      <c r="AZ10" s="4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4"/>
      <c r="BM10" s="4"/>
      <c r="BN10" s="13"/>
      <c r="BO10" s="7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</row>
    <row r="11" ht="23.25" spans="1:10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4"/>
      <c r="Z11" s="4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4"/>
      <c r="AM11" s="4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4"/>
      <c r="AZ11" s="4"/>
      <c r="BA11" s="10" t="s">
        <v>9</v>
      </c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4"/>
      <c r="BM11" s="4"/>
      <c r="BN11" s="14"/>
      <c r="BO11" s="3"/>
      <c r="BP11" s="10" t="s">
        <v>9</v>
      </c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</row>
    <row r="12" ht="23.25" spans="1:10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4"/>
      <c r="Z12" s="4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4"/>
      <c r="AM12" s="4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4"/>
      <c r="AZ12" s="4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4"/>
      <c r="BM12" s="4"/>
      <c r="BN12" s="14"/>
      <c r="BO12" s="3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</row>
    <row r="13" ht="23.25" spans="1:10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4"/>
      <c r="AZ13" s="4"/>
      <c r="BA13" s="9">
        <v>0</v>
      </c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4"/>
      <c r="BM13" s="4"/>
      <c r="BN13" s="13"/>
      <c r="BO13" s="7"/>
      <c r="BP13" s="9" t="s">
        <v>7</v>
      </c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</row>
    <row r="14" ht="23.25" spans="1:10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4"/>
      <c r="Z14" s="4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4"/>
      <c r="AM14" s="4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4"/>
      <c r="AZ14" s="4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4"/>
      <c r="BM14" s="4"/>
      <c r="BN14" s="13"/>
      <c r="BO14" s="7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</row>
    <row r="15" ht="23.25" spans="1:10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4"/>
      <c r="Z15" s="4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4"/>
      <c r="AM15" s="4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4"/>
      <c r="AZ15" s="4"/>
      <c r="BA15" s="10" t="s">
        <v>10</v>
      </c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4"/>
      <c r="BM15" s="4"/>
      <c r="BN15" s="14"/>
      <c r="BO15" s="3"/>
      <c r="BP15" s="10" t="s">
        <v>10</v>
      </c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</row>
    <row r="16" ht="23.25" spans="1:10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4"/>
      <c r="Z16" s="4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4"/>
      <c r="AM16" s="4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4"/>
      <c r="AZ16" s="4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4"/>
      <c r="BM16" s="4"/>
      <c r="BN16" s="14"/>
      <c r="BO16" s="3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</row>
    <row r="17" ht="23.25" spans="1:10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4"/>
      <c r="Z17" s="4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9" t="s">
        <v>7</v>
      </c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4"/>
      <c r="BM17" s="4"/>
      <c r="BN17" s="13"/>
      <c r="BO17" s="7"/>
      <c r="BP17" s="9" t="s">
        <v>7</v>
      </c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</row>
    <row r="18" ht="23.25" spans="1:10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4"/>
      <c r="Z18" s="4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4"/>
      <c r="AM18" s="4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4"/>
      <c r="AZ18" s="4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4"/>
      <c r="BM18" s="4"/>
      <c r="BN18" s="13"/>
      <c r="BO18" s="7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</row>
    <row r="19" ht="23.25" spans="1:10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4"/>
      <c r="Z19" s="4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4"/>
      <c r="AM19" s="4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4"/>
      <c r="AZ19" s="4"/>
      <c r="BA19" s="10" t="s">
        <v>11</v>
      </c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4"/>
      <c r="BM19" s="4"/>
      <c r="BN19" s="14"/>
      <c r="BO19" s="3"/>
      <c r="BP19" s="10" t="s">
        <v>11</v>
      </c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</row>
    <row r="20" ht="23.25" spans="1:10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4"/>
      <c r="Z20" s="4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4"/>
      <c r="AM20" s="4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4"/>
      <c r="AZ20" s="4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4"/>
      <c r="BM20" s="4"/>
      <c r="BN20" s="14"/>
      <c r="BO20" s="3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</row>
    <row r="21" spans="1:10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4"/>
      <c r="Z21" s="4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4"/>
      <c r="AM21" s="4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4"/>
      <c r="AZ21" s="4"/>
      <c r="BA21" s="6" t="s">
        <v>12</v>
      </c>
      <c r="BB21" s="6" t="s">
        <v>13</v>
      </c>
      <c r="BC21" s="6" t="s">
        <v>14</v>
      </c>
      <c r="BD21" s="6" t="s">
        <v>15</v>
      </c>
      <c r="BE21" s="6" t="s">
        <v>16</v>
      </c>
      <c r="BF21" s="6" t="s">
        <v>17</v>
      </c>
      <c r="BG21" s="6" t="s">
        <v>18</v>
      </c>
      <c r="BH21" s="6" t="s">
        <v>19</v>
      </c>
      <c r="BI21" s="6" t="s">
        <v>20</v>
      </c>
      <c r="BJ21" s="6" t="s">
        <v>21</v>
      </c>
      <c r="BK21" s="6" t="s">
        <v>22</v>
      </c>
      <c r="BL21" s="4"/>
      <c r="BM21" s="4" t="s">
        <v>23</v>
      </c>
      <c r="BN21" s="15"/>
      <c r="BO21" s="4"/>
      <c r="BP21" s="6" t="s">
        <v>12</v>
      </c>
      <c r="BQ21" s="6" t="s">
        <v>13</v>
      </c>
      <c r="BR21" s="6" t="s">
        <v>14</v>
      </c>
      <c r="BS21" s="6" t="s">
        <v>15</v>
      </c>
      <c r="BT21" s="6" t="s">
        <v>16</v>
      </c>
      <c r="BU21" s="6" t="s">
        <v>17</v>
      </c>
      <c r="BV21" s="6" t="s">
        <v>18</v>
      </c>
      <c r="BW21" s="6" t="s">
        <v>19</v>
      </c>
      <c r="BX21" s="6" t="s">
        <v>20</v>
      </c>
      <c r="BY21" s="6" t="s">
        <v>21</v>
      </c>
      <c r="BZ21" s="6" t="s">
        <v>22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</row>
    <row r="22" spans="1:10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4"/>
      <c r="Z22" s="4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4"/>
      <c r="AM22" s="4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4"/>
      <c r="AZ22" s="4"/>
      <c r="BA22" s="6" t="s">
        <v>24</v>
      </c>
      <c r="BB22" s="6">
        <v>61</v>
      </c>
      <c r="BC22" s="6" t="s">
        <v>24</v>
      </c>
      <c r="BD22" s="6">
        <v>340</v>
      </c>
      <c r="BE22" s="6" t="s">
        <v>25</v>
      </c>
      <c r="BF22" s="6">
        <v>49</v>
      </c>
      <c r="BG22" s="6" t="s">
        <v>26</v>
      </c>
      <c r="BH22" s="6">
        <v>216</v>
      </c>
      <c r="BI22" s="6">
        <v>31.2166823974391</v>
      </c>
      <c r="BJ22" s="6">
        <v>31.9417907129274</v>
      </c>
      <c r="BK22" s="6">
        <v>13.6155714059048</v>
      </c>
      <c r="BL22" s="4"/>
      <c r="BM22" s="4">
        <f>(FLOOR(((SQRT(1+8*BF22)-3))/2,0.1)*(FLOOR(((SQRT(1+8*BF22)-3))/2,0.1)+1))/2</f>
        <v>39.48</v>
      </c>
      <c r="BN22" s="15">
        <f>ABS(BB22-BM22)</f>
        <v>21.52</v>
      </c>
      <c r="BO22" s="6"/>
      <c r="BP22" s="6" t="s">
        <v>24</v>
      </c>
      <c r="BQ22" s="6">
        <v>61</v>
      </c>
      <c r="BR22" s="6" t="s">
        <v>24</v>
      </c>
      <c r="BS22" s="6">
        <v>340</v>
      </c>
      <c r="BT22" s="6" t="s">
        <v>25</v>
      </c>
      <c r="BU22" s="6">
        <v>61</v>
      </c>
      <c r="BV22" s="6" t="s">
        <v>26</v>
      </c>
      <c r="BW22" s="6">
        <v>288</v>
      </c>
      <c r="BX22" s="6">
        <v>0.168118919071506</v>
      </c>
      <c r="BY22" s="6">
        <v>1.2672956333909</v>
      </c>
      <c r="BZ22" s="6">
        <v>0.0671828209846434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</row>
    <row r="23" spans="1:10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4"/>
      <c r="Z23" s="4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4"/>
      <c r="AM23" s="4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4"/>
      <c r="AZ23" s="4"/>
      <c r="BA23" s="6" t="s">
        <v>24</v>
      </c>
      <c r="BB23" s="6">
        <v>61</v>
      </c>
      <c r="BC23" s="6" t="s">
        <v>24</v>
      </c>
      <c r="BD23" s="6">
        <v>340</v>
      </c>
      <c r="BE23" s="6" t="s">
        <v>25</v>
      </c>
      <c r="BF23" s="6">
        <v>64</v>
      </c>
      <c r="BG23" s="6" t="s">
        <v>26</v>
      </c>
      <c r="BH23" s="6">
        <v>294</v>
      </c>
      <c r="BI23" s="6">
        <v>1.22299932997984</v>
      </c>
      <c r="BJ23" s="6">
        <v>2.37842710168881</v>
      </c>
      <c r="BK23" s="6">
        <v>0.133346836288377</v>
      </c>
      <c r="BL23" s="4"/>
      <c r="BM23" s="4">
        <f t="shared" ref="BM23:BM48" si="0">(FLOOR(((SQRT(1+8*BF23)-3))/2,0.1)*(FLOOR(((SQRT(1+8*BF23)-3))/2,0.1)+1))/2</f>
        <v>52.92</v>
      </c>
      <c r="BN23" s="15">
        <f>ABS(BB23-BM23)</f>
        <v>8.07999999999999</v>
      </c>
      <c r="BO23" s="6"/>
      <c r="BP23" s="6" t="s">
        <v>24</v>
      </c>
      <c r="BQ23" s="6">
        <v>61</v>
      </c>
      <c r="BR23" s="6" t="s">
        <v>24</v>
      </c>
      <c r="BS23" s="6">
        <v>340</v>
      </c>
      <c r="BT23" s="6" t="s">
        <v>25</v>
      </c>
      <c r="BU23" s="6">
        <v>71</v>
      </c>
      <c r="BV23" s="6" t="s">
        <v>26</v>
      </c>
      <c r="BW23" s="6">
        <v>336</v>
      </c>
      <c r="BX23" s="6">
        <v>-1.41191097588128</v>
      </c>
      <c r="BY23" s="6">
        <v>-0.334263577033239</v>
      </c>
      <c r="BZ23" s="6">
        <v>-0.554418033383149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</row>
    <row r="24" spans="1:10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4"/>
      <c r="Z24" s="4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4"/>
      <c r="AM24" s="4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4"/>
      <c r="AZ24" s="4"/>
      <c r="BA24" s="11" t="s">
        <v>24</v>
      </c>
      <c r="BB24" s="11">
        <v>61</v>
      </c>
      <c r="BC24" s="11" t="s">
        <v>24</v>
      </c>
      <c r="BD24" s="11">
        <v>340</v>
      </c>
      <c r="BE24" s="11" t="s">
        <v>25</v>
      </c>
      <c r="BF24" s="11">
        <v>81</v>
      </c>
      <c r="BG24" s="11" t="s">
        <v>26</v>
      </c>
      <c r="BH24" s="11">
        <v>384</v>
      </c>
      <c r="BI24" s="11">
        <v>-1.21767156423924</v>
      </c>
      <c r="BJ24" s="11">
        <v>-0.340773263867284</v>
      </c>
      <c r="BK24" s="11">
        <v>-0.442870864090612</v>
      </c>
      <c r="BL24" s="12"/>
      <c r="BM24" s="12">
        <f t="shared" si="0"/>
        <v>68.32</v>
      </c>
      <c r="BN24" s="15">
        <f t="shared" ref="BN24:BN48" si="1">ABS(BB24-BM24)</f>
        <v>7.32000000000001</v>
      </c>
      <c r="BO24" s="6"/>
      <c r="BP24" s="6" t="s">
        <v>24</v>
      </c>
      <c r="BQ24" s="6">
        <v>61</v>
      </c>
      <c r="BR24" s="6" t="s">
        <v>24</v>
      </c>
      <c r="BS24" s="6">
        <v>340</v>
      </c>
      <c r="BT24" s="6" t="s">
        <v>25</v>
      </c>
      <c r="BU24" s="6">
        <v>97</v>
      </c>
      <c r="BV24" s="6" t="s">
        <v>26</v>
      </c>
      <c r="BW24" s="6">
        <v>480</v>
      </c>
      <c r="BX24" s="6">
        <v>-1.52428960191769</v>
      </c>
      <c r="BY24" s="6">
        <v>-1.22595775634399</v>
      </c>
      <c r="BZ24" s="6">
        <v>-0.426469817745213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</row>
    <row r="25" spans="1:10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4"/>
      <c r="Z25" s="4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4"/>
      <c r="AM25" s="4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4"/>
      <c r="AZ25" s="4"/>
      <c r="BA25" s="6" t="s">
        <v>24</v>
      </c>
      <c r="BB25" s="6">
        <v>61</v>
      </c>
      <c r="BC25" s="6" t="s">
        <v>24</v>
      </c>
      <c r="BD25" s="6">
        <v>340</v>
      </c>
      <c r="BE25" s="6" t="s">
        <v>25</v>
      </c>
      <c r="BF25" s="6">
        <v>100</v>
      </c>
      <c r="BG25" s="6" t="s">
        <v>26</v>
      </c>
      <c r="BH25" s="6">
        <v>486</v>
      </c>
      <c r="BI25" s="6">
        <v>-1.23563585311992</v>
      </c>
      <c r="BJ25" s="6">
        <v>-0.973762788769759</v>
      </c>
      <c r="BK25" s="6">
        <v>-0.100952755889547</v>
      </c>
      <c r="BL25" s="4"/>
      <c r="BM25" s="4">
        <f t="shared" si="0"/>
        <v>85.68</v>
      </c>
      <c r="BN25" s="15">
        <f t="shared" si="1"/>
        <v>24.68</v>
      </c>
      <c r="BO25" s="6"/>
      <c r="BP25" s="6" t="s">
        <v>24</v>
      </c>
      <c r="BQ25" s="6">
        <v>61</v>
      </c>
      <c r="BR25" s="6" t="s">
        <v>24</v>
      </c>
      <c r="BS25" s="6">
        <v>340</v>
      </c>
      <c r="BT25" s="6" t="s">
        <v>25</v>
      </c>
      <c r="BU25" s="6">
        <v>122</v>
      </c>
      <c r="BV25" s="6" t="s">
        <v>26</v>
      </c>
      <c r="BW25" s="6">
        <v>618</v>
      </c>
      <c r="BX25" s="6">
        <v>-1.20777606901152</v>
      </c>
      <c r="BY25" s="6">
        <v>-1.03823023889013</v>
      </c>
      <c r="BZ25" s="6">
        <v>-0.134072175487517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</row>
    <row r="26" spans="1:10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4"/>
      <c r="Z26" s="4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4"/>
      <c r="AM26" s="4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4"/>
      <c r="AZ26" s="4"/>
      <c r="BA26" s="6" t="s">
        <v>24</v>
      </c>
      <c r="BB26" s="6">
        <v>61</v>
      </c>
      <c r="BC26" s="6" t="s">
        <v>24</v>
      </c>
      <c r="BD26" s="6">
        <v>340</v>
      </c>
      <c r="BE26" s="6" t="s">
        <v>25</v>
      </c>
      <c r="BF26" s="6">
        <v>121</v>
      </c>
      <c r="BG26" s="6" t="s">
        <v>26</v>
      </c>
      <c r="BH26" s="6">
        <v>600</v>
      </c>
      <c r="BI26" s="6">
        <v>-1.18283065576145</v>
      </c>
      <c r="BJ26" s="6">
        <v>-0.989108832943504</v>
      </c>
      <c r="BK26" s="6">
        <v>-0.0551941547691375</v>
      </c>
      <c r="BL26" s="4"/>
      <c r="BM26" s="4">
        <f t="shared" si="0"/>
        <v>105</v>
      </c>
      <c r="BN26" s="15">
        <f t="shared" si="1"/>
        <v>44</v>
      </c>
      <c r="BO26" s="6"/>
      <c r="BP26" s="6" t="s">
        <v>24</v>
      </c>
      <c r="BQ26" s="6">
        <v>61</v>
      </c>
      <c r="BR26" s="6" t="s">
        <v>24</v>
      </c>
      <c r="BS26" s="6">
        <v>340</v>
      </c>
      <c r="BT26" s="6" t="s">
        <v>25</v>
      </c>
      <c r="BU26" s="6">
        <v>165</v>
      </c>
      <c r="BV26" s="6" t="s">
        <v>26</v>
      </c>
      <c r="BW26" s="6">
        <v>864</v>
      </c>
      <c r="BX26" s="6">
        <v>-0.690391623439724</v>
      </c>
      <c r="BY26" s="6">
        <v>-0.649792001971741</v>
      </c>
      <c r="BZ26" s="6">
        <v>0.169316426878541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</row>
    <row r="27" spans="1:10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4"/>
      <c r="Z27" s="4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4"/>
      <c r="AM27" s="4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4"/>
      <c r="AZ27" s="4"/>
      <c r="BA27" s="6" t="s">
        <v>24</v>
      </c>
      <c r="BB27" s="6">
        <v>61</v>
      </c>
      <c r="BC27" s="6" t="s">
        <v>24</v>
      </c>
      <c r="BD27" s="6">
        <v>340</v>
      </c>
      <c r="BE27" s="6" t="s">
        <v>25</v>
      </c>
      <c r="BF27" s="6">
        <v>144</v>
      </c>
      <c r="BG27" s="6" t="s">
        <v>26</v>
      </c>
      <c r="BH27" s="6">
        <v>726</v>
      </c>
      <c r="BI27" s="6">
        <v>-0.879142187545177</v>
      </c>
      <c r="BJ27" s="6">
        <v>-0.794353687417975</v>
      </c>
      <c r="BK27" s="6">
        <v>0.0905775741171824</v>
      </c>
      <c r="BL27" s="4"/>
      <c r="BM27" s="4">
        <f t="shared" si="0"/>
        <v>126.28</v>
      </c>
      <c r="BN27" s="15">
        <f t="shared" si="1"/>
        <v>65.28</v>
      </c>
      <c r="BO27" s="6"/>
      <c r="BP27" s="6" t="s">
        <v>24</v>
      </c>
      <c r="BQ27" s="6">
        <v>61</v>
      </c>
      <c r="BR27" s="6" t="s">
        <v>24</v>
      </c>
      <c r="BS27" s="6">
        <v>340</v>
      </c>
      <c r="BT27" s="6" t="s">
        <v>25</v>
      </c>
      <c r="BU27" s="6">
        <v>174</v>
      </c>
      <c r="BV27" s="6" t="s">
        <v>26</v>
      </c>
      <c r="BW27" s="6">
        <v>906</v>
      </c>
      <c r="BX27" s="6">
        <v>-0.727314687363048</v>
      </c>
      <c r="BY27" s="6">
        <v>-0.6745826024651</v>
      </c>
      <c r="BZ27" s="6">
        <v>0.193154907401329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</row>
    <row r="28" spans="1:10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4"/>
      <c r="Z28" s="4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4"/>
      <c r="AM28" s="4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4"/>
      <c r="AZ28" s="4"/>
      <c r="BA28" s="6" t="s">
        <v>24</v>
      </c>
      <c r="BB28" s="6">
        <v>61</v>
      </c>
      <c r="BC28" s="6" t="s">
        <v>24</v>
      </c>
      <c r="BD28" s="6">
        <v>340</v>
      </c>
      <c r="BE28" s="6" t="s">
        <v>25</v>
      </c>
      <c r="BF28" s="6">
        <v>169</v>
      </c>
      <c r="BG28" s="6" t="s">
        <v>26</v>
      </c>
      <c r="BH28" s="6">
        <v>864</v>
      </c>
      <c r="BI28" s="6">
        <v>-0.818600885725898</v>
      </c>
      <c r="BJ28" s="6">
        <v>-0.753893564771067</v>
      </c>
      <c r="BK28" s="6">
        <v>0.140626424292444</v>
      </c>
      <c r="BL28" s="4"/>
      <c r="BM28" s="4">
        <f t="shared" si="0"/>
        <v>149.52</v>
      </c>
      <c r="BN28" s="15">
        <f t="shared" si="1"/>
        <v>88.52</v>
      </c>
      <c r="BO28" s="6"/>
      <c r="BP28" s="6" t="s">
        <v>24</v>
      </c>
      <c r="BQ28" s="6">
        <v>61</v>
      </c>
      <c r="BR28" s="6" t="s">
        <v>24</v>
      </c>
      <c r="BS28" s="6">
        <v>340</v>
      </c>
      <c r="BT28" s="6" t="s">
        <v>25</v>
      </c>
      <c r="BU28" s="6">
        <v>209</v>
      </c>
      <c r="BV28" s="6" t="s">
        <v>26</v>
      </c>
      <c r="BW28" s="6">
        <v>1104</v>
      </c>
      <c r="BX28" s="6">
        <v>-0.629447220127409</v>
      </c>
      <c r="BY28" s="6">
        <v>-0.601025543900296</v>
      </c>
      <c r="BZ28" s="6">
        <v>0.21177819100726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</row>
    <row r="29" ht="23.25" spans="1:10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4"/>
      <c r="Z29" s="4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4"/>
      <c r="AM29" s="4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4"/>
      <c r="AZ29" s="4"/>
      <c r="BA29" s="6" t="s">
        <v>24</v>
      </c>
      <c r="BB29" s="6">
        <v>61</v>
      </c>
      <c r="BC29" s="6" t="s">
        <v>24</v>
      </c>
      <c r="BD29" s="6">
        <v>340</v>
      </c>
      <c r="BE29" s="6" t="s">
        <v>25</v>
      </c>
      <c r="BF29" s="6">
        <v>196</v>
      </c>
      <c r="BG29" s="6" t="s">
        <v>26</v>
      </c>
      <c r="BH29" s="6">
        <v>1014</v>
      </c>
      <c r="BI29" s="6">
        <v>-0.681159207282215</v>
      </c>
      <c r="BJ29" s="6">
        <v>-0.638046303679625</v>
      </c>
      <c r="BK29" s="6">
        <v>0.21818783658703</v>
      </c>
      <c r="BL29" s="4"/>
      <c r="BM29" s="4">
        <f t="shared" si="0"/>
        <v>176.595</v>
      </c>
      <c r="BN29" s="15">
        <f t="shared" si="1"/>
        <v>115.595</v>
      </c>
      <c r="BO29" s="6"/>
      <c r="BP29" s="6" t="s">
        <v>24</v>
      </c>
      <c r="BQ29" s="6">
        <v>61</v>
      </c>
      <c r="BR29" s="6" t="s">
        <v>24</v>
      </c>
      <c r="BS29" s="6">
        <v>340</v>
      </c>
      <c r="BT29" s="6" t="s">
        <v>25</v>
      </c>
      <c r="BU29" s="6">
        <v>238</v>
      </c>
      <c r="BV29" s="6" t="s">
        <v>26</v>
      </c>
      <c r="BW29" s="6">
        <v>1266</v>
      </c>
      <c r="BX29" s="6">
        <v>-0.556670266269816</v>
      </c>
      <c r="BY29" s="6">
        <v>-0.536437398715878</v>
      </c>
      <c r="BZ29" s="6">
        <v>0.275618139885092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</row>
    <row r="30" ht="23.25" spans="1:10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4"/>
      <c r="Z30" s="4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4"/>
      <c r="AM30" s="4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4"/>
      <c r="AZ30" s="4"/>
      <c r="BA30" s="6" t="s">
        <v>24</v>
      </c>
      <c r="BB30" s="6">
        <v>61</v>
      </c>
      <c r="BC30" s="6" t="s">
        <v>24</v>
      </c>
      <c r="BD30" s="6">
        <v>340</v>
      </c>
      <c r="BE30" s="6" t="s">
        <v>25</v>
      </c>
      <c r="BF30" s="6">
        <v>225</v>
      </c>
      <c r="BG30" s="6" t="s">
        <v>26</v>
      </c>
      <c r="BH30" s="6">
        <v>1176</v>
      </c>
      <c r="BI30" s="6">
        <v>-0.621821667953861</v>
      </c>
      <c r="BJ30" s="6">
        <v>-0.592355601590362</v>
      </c>
      <c r="BK30" s="6">
        <v>0.248452708224491</v>
      </c>
      <c r="BL30" s="4"/>
      <c r="BM30" s="4">
        <f t="shared" si="0"/>
        <v>203.895</v>
      </c>
      <c r="BN30" s="15">
        <f t="shared" si="1"/>
        <v>142.895</v>
      </c>
      <c r="BO30" s="6"/>
      <c r="BP30" s="6" t="s">
        <v>24</v>
      </c>
      <c r="BQ30" s="6">
        <v>61</v>
      </c>
      <c r="BR30" s="6" t="s">
        <v>24</v>
      </c>
      <c r="BS30" s="6">
        <v>340</v>
      </c>
      <c r="BT30" s="6" t="s">
        <v>25</v>
      </c>
      <c r="BU30" s="6">
        <v>256</v>
      </c>
      <c r="BV30" s="6" t="s">
        <v>26</v>
      </c>
      <c r="BW30" s="6">
        <v>1362</v>
      </c>
      <c r="BX30" s="6">
        <v>-0.555295957906784</v>
      </c>
      <c r="BY30" s="6">
        <v>-0.539732532144311</v>
      </c>
      <c r="BZ30" s="6">
        <v>0.288240157613135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</row>
    <row r="31" spans="1:10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4"/>
      <c r="Z31" s="4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4"/>
      <c r="AM31" s="4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4"/>
      <c r="AZ31" s="4"/>
      <c r="BA31" s="6" t="s">
        <v>24</v>
      </c>
      <c r="BB31" s="6">
        <v>61</v>
      </c>
      <c r="BC31" s="6" t="s">
        <v>24</v>
      </c>
      <c r="BD31" s="6">
        <v>340</v>
      </c>
      <c r="BE31" s="6" t="s">
        <v>25</v>
      </c>
      <c r="BF31" s="6">
        <v>256</v>
      </c>
      <c r="BG31" s="6" t="s">
        <v>26</v>
      </c>
      <c r="BH31" s="6">
        <v>1350</v>
      </c>
      <c r="BI31" s="6">
        <v>-0.562737194675662</v>
      </c>
      <c r="BJ31" s="6">
        <v>-0.540818221707966</v>
      </c>
      <c r="BK31" s="6">
        <v>0.305525371292972</v>
      </c>
      <c r="BL31" s="4"/>
      <c r="BM31" s="4">
        <f t="shared" si="0"/>
        <v>233.155</v>
      </c>
      <c r="BN31" s="15">
        <f t="shared" si="1"/>
        <v>172.155</v>
      </c>
      <c r="BO31" s="6"/>
      <c r="BP31" s="6" t="s">
        <v>24</v>
      </c>
      <c r="BQ31" s="6">
        <v>61</v>
      </c>
      <c r="BR31" s="6" t="s">
        <v>24</v>
      </c>
      <c r="BS31" s="6">
        <v>340</v>
      </c>
      <c r="BT31" s="6" t="s">
        <v>25</v>
      </c>
      <c r="BU31" s="6">
        <v>297</v>
      </c>
      <c r="BV31" s="6" t="s">
        <v>26</v>
      </c>
      <c r="BW31" s="6">
        <v>1596</v>
      </c>
      <c r="BX31" s="6">
        <v>-0.45135686279369</v>
      </c>
      <c r="BY31" s="6">
        <v>-0.455803898203595</v>
      </c>
      <c r="BZ31" s="6">
        <v>0.403015741454064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</row>
    <row r="32" spans="1:10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4"/>
      <c r="Z32" s="4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4"/>
      <c r="AM32" s="4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4"/>
      <c r="AZ32" s="4"/>
      <c r="BA32" s="6" t="s">
        <v>24</v>
      </c>
      <c r="BB32" s="6">
        <v>61</v>
      </c>
      <c r="BC32" s="6" t="s">
        <v>24</v>
      </c>
      <c r="BD32" s="6">
        <v>340</v>
      </c>
      <c r="BE32" s="6" t="s">
        <v>25</v>
      </c>
      <c r="BF32" s="6">
        <v>289</v>
      </c>
      <c r="BG32" s="6" t="s">
        <v>26</v>
      </c>
      <c r="BH32" s="6">
        <v>1536</v>
      </c>
      <c r="BI32" s="6">
        <v>-0.501748813035551</v>
      </c>
      <c r="BJ32" s="6">
        <v>-0.488933040547472</v>
      </c>
      <c r="BK32" s="6">
        <v>0.50573638889508</v>
      </c>
      <c r="BL32" s="4"/>
      <c r="BM32" s="4">
        <f t="shared" si="0"/>
        <v>264.375</v>
      </c>
      <c r="BN32" s="15">
        <f t="shared" si="1"/>
        <v>203.375</v>
      </c>
      <c r="BO32" s="6"/>
      <c r="BP32" s="6" t="s">
        <v>24</v>
      </c>
      <c r="BQ32" s="6">
        <v>61</v>
      </c>
      <c r="BR32" s="6" t="s">
        <v>24</v>
      </c>
      <c r="BS32" s="6">
        <v>340</v>
      </c>
      <c r="BT32" s="6" t="s">
        <v>25</v>
      </c>
      <c r="BU32" s="6">
        <v>340</v>
      </c>
      <c r="BV32" s="6" t="s">
        <v>26</v>
      </c>
      <c r="BW32" s="6">
        <v>1842</v>
      </c>
      <c r="BX32" s="6">
        <v>-0.491513105146797</v>
      </c>
      <c r="BY32" s="6">
        <v>-0.489571724940788</v>
      </c>
      <c r="BZ32" s="6">
        <v>0.286533935606628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</row>
    <row r="33" spans="1:10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4"/>
      <c r="Z33" s="4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4"/>
      <c r="AM33" s="4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4"/>
      <c r="AZ33" s="4"/>
      <c r="BA33" s="6" t="s">
        <v>24</v>
      </c>
      <c r="BB33" s="6">
        <v>61</v>
      </c>
      <c r="BC33" s="6" t="s">
        <v>24</v>
      </c>
      <c r="BD33" s="6">
        <v>340</v>
      </c>
      <c r="BE33" s="6" t="s">
        <v>25</v>
      </c>
      <c r="BF33" s="6">
        <v>324</v>
      </c>
      <c r="BG33" s="6" t="s">
        <v>26</v>
      </c>
      <c r="BH33" s="6">
        <v>1734</v>
      </c>
      <c r="BI33" s="6">
        <v>-0.431499600937181</v>
      </c>
      <c r="BJ33" s="6">
        <v>-0.425933841353064</v>
      </c>
      <c r="BK33" s="6">
        <v>1.16903966961007</v>
      </c>
      <c r="BL33" s="4"/>
      <c r="BM33" s="4">
        <f t="shared" si="0"/>
        <v>297.555</v>
      </c>
      <c r="BN33" s="15">
        <f t="shared" si="1"/>
        <v>236.555</v>
      </c>
      <c r="BO33" s="6"/>
      <c r="BP33" s="6" t="s">
        <v>24</v>
      </c>
      <c r="BQ33" s="6">
        <v>61</v>
      </c>
      <c r="BR33" s="6" t="s">
        <v>24</v>
      </c>
      <c r="BS33" s="6">
        <v>340</v>
      </c>
      <c r="BT33" s="6" t="s">
        <v>25</v>
      </c>
      <c r="BU33" s="6">
        <v>380</v>
      </c>
      <c r="BV33" s="6" t="s">
        <v>26</v>
      </c>
      <c r="BW33" s="6">
        <v>2070</v>
      </c>
      <c r="BX33" s="6">
        <v>6.59939373474937e-5</v>
      </c>
      <c r="BY33" s="6">
        <v>1.7912920958054e-5</v>
      </c>
      <c r="BZ33" s="6">
        <v>2.20613626028254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</row>
    <row r="34" spans="1:10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4"/>
      <c r="Z34" s="4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4"/>
      <c r="AM34" s="4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4"/>
      <c r="AZ34" s="4"/>
      <c r="BA34" s="6" t="s">
        <v>24</v>
      </c>
      <c r="BB34" s="6">
        <v>61</v>
      </c>
      <c r="BC34" s="6" t="s">
        <v>24</v>
      </c>
      <c r="BD34" s="6">
        <v>340</v>
      </c>
      <c r="BE34" s="6" t="s">
        <v>25</v>
      </c>
      <c r="BF34" s="6">
        <v>361</v>
      </c>
      <c r="BG34" s="6" t="s">
        <v>26</v>
      </c>
      <c r="BH34" s="6">
        <v>1944</v>
      </c>
      <c r="BI34" s="6">
        <v>-0.0314583721865243</v>
      </c>
      <c r="BJ34" s="6">
        <v>-0.0401134966574513</v>
      </c>
      <c r="BK34" s="6">
        <v>2.51696263667266</v>
      </c>
      <c r="BL34" s="4"/>
      <c r="BM34" s="4">
        <f t="shared" si="0"/>
        <v>332.695</v>
      </c>
      <c r="BN34" s="15">
        <f t="shared" si="1"/>
        <v>271.695</v>
      </c>
      <c r="BO34" s="6"/>
      <c r="BP34" s="6" t="s">
        <v>24</v>
      </c>
      <c r="BQ34" s="6">
        <v>61</v>
      </c>
      <c r="BR34" s="6" t="s">
        <v>24</v>
      </c>
      <c r="BS34" s="6">
        <v>340</v>
      </c>
      <c r="BT34" s="6" t="s">
        <v>25</v>
      </c>
      <c r="BU34" s="6">
        <v>435</v>
      </c>
      <c r="BV34" s="6" t="s">
        <v>26</v>
      </c>
      <c r="BW34" s="6">
        <v>2388</v>
      </c>
      <c r="BX34" s="11">
        <v>-5.14547185880217e-6</v>
      </c>
      <c r="BY34" s="17">
        <v>-5.6644237167547e-6</v>
      </c>
      <c r="BZ34" s="6">
        <v>1.85334334073849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</row>
    <row r="35" spans="1:10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4"/>
      <c r="Z35" s="4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4"/>
      <c r="AM35" s="4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4"/>
      <c r="AZ35" s="4"/>
      <c r="BA35" s="6" t="s">
        <v>24</v>
      </c>
      <c r="BB35" s="6">
        <v>61</v>
      </c>
      <c r="BC35" s="6" t="s">
        <v>24</v>
      </c>
      <c r="BD35" s="6">
        <v>340</v>
      </c>
      <c r="BE35" s="6" t="s">
        <v>25</v>
      </c>
      <c r="BF35" s="6">
        <v>400</v>
      </c>
      <c r="BG35" s="6" t="s">
        <v>26</v>
      </c>
      <c r="BH35" s="6">
        <v>2166</v>
      </c>
      <c r="BI35" s="6">
        <v>-1.25936833392378e-5</v>
      </c>
      <c r="BJ35" s="6">
        <v>-1.42173331833674e-5</v>
      </c>
      <c r="BK35" s="6">
        <v>2.05778202463389</v>
      </c>
      <c r="BL35" s="4"/>
      <c r="BM35" s="4">
        <f t="shared" si="0"/>
        <v>369.795</v>
      </c>
      <c r="BN35" s="15">
        <f t="shared" si="1"/>
        <v>308.795</v>
      </c>
      <c r="BO35" s="6"/>
      <c r="BP35" s="6" t="s">
        <v>24</v>
      </c>
      <c r="BQ35" s="6">
        <v>61</v>
      </c>
      <c r="BR35" s="6" t="s">
        <v>24</v>
      </c>
      <c r="BS35" s="6">
        <v>340</v>
      </c>
      <c r="BT35" s="6" t="s">
        <v>25</v>
      </c>
      <c r="BU35" s="6">
        <v>485</v>
      </c>
      <c r="BV35" s="6" t="s">
        <v>26</v>
      </c>
      <c r="BW35" s="6">
        <v>2676</v>
      </c>
      <c r="BX35" s="6">
        <v>-3.34803059526234e-6</v>
      </c>
      <c r="BY35" s="6">
        <v>-3.43130972528785e-6</v>
      </c>
      <c r="BZ35" s="6">
        <v>1.72437131481527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</row>
    <row r="36" spans="1:10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4"/>
      <c r="Z36" s="4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4"/>
      <c r="AM36" s="4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4"/>
      <c r="AZ36" s="4"/>
      <c r="BA36" s="6" t="s">
        <v>24</v>
      </c>
      <c r="BB36" s="6">
        <v>61</v>
      </c>
      <c r="BC36" s="6" t="s">
        <v>24</v>
      </c>
      <c r="BD36" s="6">
        <v>340</v>
      </c>
      <c r="BE36" s="6" t="s">
        <v>25</v>
      </c>
      <c r="BF36" s="6">
        <v>441</v>
      </c>
      <c r="BG36" s="6" t="s">
        <v>26</v>
      </c>
      <c r="BH36" s="6">
        <v>2400</v>
      </c>
      <c r="BI36" s="6">
        <v>-4.75899087332491e-6</v>
      </c>
      <c r="BJ36" s="6">
        <v>-5.62635134970407e-6</v>
      </c>
      <c r="BK36" s="6">
        <v>1.8614907074039</v>
      </c>
      <c r="BL36" s="4"/>
      <c r="BM36" s="4">
        <f t="shared" si="0"/>
        <v>411.72</v>
      </c>
      <c r="BN36" s="15">
        <f t="shared" si="1"/>
        <v>350.72</v>
      </c>
      <c r="BO36" s="6"/>
      <c r="BP36" s="6" t="s">
        <v>24</v>
      </c>
      <c r="BQ36" s="6">
        <v>61</v>
      </c>
      <c r="BR36" s="6" t="s">
        <v>24</v>
      </c>
      <c r="BS36" s="6">
        <v>340</v>
      </c>
      <c r="BT36" s="6" t="s">
        <v>25</v>
      </c>
      <c r="BU36" s="6">
        <v>564</v>
      </c>
      <c r="BV36" s="6" t="s">
        <v>26</v>
      </c>
      <c r="BW36" s="6">
        <v>3138</v>
      </c>
      <c r="BX36" s="6">
        <v>-1.63134736766865e-6</v>
      </c>
      <c r="BY36" s="6">
        <v>-1.96510692478721e-6</v>
      </c>
      <c r="BZ36" s="6">
        <v>1.63417895328678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</row>
    <row r="37" ht="23.25" spans="1:10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4"/>
      <c r="Z37" s="4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4"/>
      <c r="AM37" s="4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4"/>
      <c r="AZ37" s="4"/>
      <c r="BA37" s="6" t="s">
        <v>24</v>
      </c>
      <c r="BB37" s="6">
        <v>61</v>
      </c>
      <c r="BC37" s="6" t="s">
        <v>24</v>
      </c>
      <c r="BD37" s="6">
        <v>340</v>
      </c>
      <c r="BE37" s="6" t="s">
        <v>25</v>
      </c>
      <c r="BF37" s="6">
        <v>484</v>
      </c>
      <c r="BG37" s="6" t="s">
        <v>26</v>
      </c>
      <c r="BH37" s="6">
        <v>2646</v>
      </c>
      <c r="BI37" s="6">
        <v>-2.75989471917403e-6</v>
      </c>
      <c r="BJ37" s="6">
        <v>-3.2802009251829e-6</v>
      </c>
      <c r="BK37" s="6">
        <v>1.7464623694743</v>
      </c>
      <c r="BL37" s="4"/>
      <c r="BM37" s="4">
        <f t="shared" si="0"/>
        <v>452.88</v>
      </c>
      <c r="BN37" s="15">
        <f t="shared" si="1"/>
        <v>391.88</v>
      </c>
      <c r="BO37" s="6"/>
      <c r="BP37" s="6" t="s">
        <v>24</v>
      </c>
      <c r="BQ37" s="6">
        <v>61</v>
      </c>
      <c r="BR37" s="6" t="s">
        <v>24</v>
      </c>
      <c r="BS37" s="6">
        <v>340</v>
      </c>
      <c r="BT37" s="6" t="s">
        <v>25</v>
      </c>
      <c r="BU37" s="6">
        <v>598</v>
      </c>
      <c r="BV37" s="6" t="s">
        <v>26</v>
      </c>
      <c r="BW37" s="6">
        <v>3330</v>
      </c>
      <c r="BX37" s="6">
        <v>-1.47666351338034e-6</v>
      </c>
      <c r="BY37" s="6">
        <v>-1.61205239448921e-6</v>
      </c>
      <c r="BZ37" s="6">
        <v>1.57161319738862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</row>
    <row r="38" ht="23.25" spans="1:10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4"/>
      <c r="Z38" s="4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4"/>
      <c r="AM38" s="4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4"/>
      <c r="AZ38" s="4"/>
      <c r="BA38" s="6" t="s">
        <v>24</v>
      </c>
      <c r="BB38" s="6">
        <v>61</v>
      </c>
      <c r="BC38" s="6" t="s">
        <v>24</v>
      </c>
      <c r="BD38" s="6">
        <v>340</v>
      </c>
      <c r="BE38" s="6" t="s">
        <v>25</v>
      </c>
      <c r="BF38" s="6">
        <v>529</v>
      </c>
      <c r="BG38" s="6" t="s">
        <v>26</v>
      </c>
      <c r="BH38" s="6">
        <v>2904</v>
      </c>
      <c r="BI38" s="6">
        <v>-3.58392434371057e-6</v>
      </c>
      <c r="BJ38" s="6">
        <v>-3.60797687852604e-6</v>
      </c>
      <c r="BK38" s="6">
        <v>1.73312634787065</v>
      </c>
      <c r="BL38" s="4"/>
      <c r="BM38" s="4">
        <f t="shared" si="0"/>
        <v>496</v>
      </c>
      <c r="BN38" s="15">
        <f t="shared" si="1"/>
        <v>435</v>
      </c>
      <c r="BO38" s="6"/>
      <c r="BP38" s="6" t="s">
        <v>24</v>
      </c>
      <c r="BQ38" s="6">
        <v>61</v>
      </c>
      <c r="BR38" s="6" t="s">
        <v>24</v>
      </c>
      <c r="BS38" s="6">
        <v>340</v>
      </c>
      <c r="BT38" s="6" t="s">
        <v>25</v>
      </c>
      <c r="BU38" s="6">
        <v>668</v>
      </c>
      <c r="BV38" s="6" t="s">
        <v>26</v>
      </c>
      <c r="BW38" s="6">
        <v>3738</v>
      </c>
      <c r="BX38" s="6">
        <v>-1.22953748033775e-6</v>
      </c>
      <c r="BY38" s="6">
        <v>-1.3934212008503e-6</v>
      </c>
      <c r="BZ38" s="6">
        <v>1.5493760827008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</row>
    <row r="39" spans="1:10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4"/>
      <c r="AM39" s="4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4"/>
      <c r="AZ39" s="4"/>
      <c r="BA39" s="6" t="s">
        <v>24</v>
      </c>
      <c r="BB39" s="6">
        <v>61</v>
      </c>
      <c r="BC39" s="6" t="s">
        <v>24</v>
      </c>
      <c r="BD39" s="6">
        <v>340</v>
      </c>
      <c r="BE39" s="6" t="s">
        <v>25</v>
      </c>
      <c r="BF39" s="6">
        <v>576</v>
      </c>
      <c r="BG39" s="6" t="s">
        <v>26</v>
      </c>
      <c r="BH39" s="6">
        <v>3174</v>
      </c>
      <c r="BI39" s="6">
        <v>-1.94847487812018e-6</v>
      </c>
      <c r="BJ39" s="6">
        <v>-2.20798973693654e-6</v>
      </c>
      <c r="BK39" s="6">
        <v>1.65076256702468</v>
      </c>
      <c r="BL39" s="4"/>
      <c r="BM39" s="4">
        <f t="shared" si="0"/>
        <v>541.08</v>
      </c>
      <c r="BN39" s="15">
        <f t="shared" si="1"/>
        <v>480.08</v>
      </c>
      <c r="BO39" s="6"/>
      <c r="BP39" s="6" t="s">
        <v>24</v>
      </c>
      <c r="BQ39" s="6">
        <v>61</v>
      </c>
      <c r="BR39" s="6" t="s">
        <v>24</v>
      </c>
      <c r="BS39" s="6">
        <v>340</v>
      </c>
      <c r="BT39" s="6" t="s">
        <v>25</v>
      </c>
      <c r="BU39" s="6">
        <v>741</v>
      </c>
      <c r="BV39" s="6" t="s">
        <v>26</v>
      </c>
      <c r="BW39" s="6">
        <v>4164</v>
      </c>
      <c r="BX39" s="6">
        <v>-1.33276158916579e-6</v>
      </c>
      <c r="BY39" s="6">
        <v>-1.40356076872813e-6</v>
      </c>
      <c r="BZ39" s="6">
        <v>1.53459840925098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</row>
    <row r="40" spans="1:10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4"/>
      <c r="AM40" s="4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4"/>
      <c r="AZ40" s="4"/>
      <c r="BA40" s="6" t="s">
        <v>24</v>
      </c>
      <c r="BB40" s="6">
        <v>61</v>
      </c>
      <c r="BC40" s="6" t="s">
        <v>24</v>
      </c>
      <c r="BD40" s="6">
        <v>340</v>
      </c>
      <c r="BE40" s="6" t="s">
        <v>25</v>
      </c>
      <c r="BF40" s="6">
        <v>625</v>
      </c>
      <c r="BG40" s="6" t="s">
        <v>26</v>
      </c>
      <c r="BH40" s="6">
        <v>3456</v>
      </c>
      <c r="BI40" s="6">
        <v>-1.71463150420142e-6</v>
      </c>
      <c r="BJ40" s="6">
        <v>-1.91289798895691e-6</v>
      </c>
      <c r="BK40" s="6">
        <v>1.61567279841597</v>
      </c>
      <c r="BL40" s="4"/>
      <c r="BM40" s="4">
        <f t="shared" si="0"/>
        <v>588.12</v>
      </c>
      <c r="BN40" s="15">
        <f t="shared" si="1"/>
        <v>527.12</v>
      </c>
      <c r="BO40" s="6"/>
      <c r="BP40" s="6" t="s">
        <v>24</v>
      </c>
      <c r="BQ40" s="6">
        <v>61</v>
      </c>
      <c r="BR40" s="6" t="s">
        <v>24</v>
      </c>
      <c r="BS40" s="6">
        <v>340</v>
      </c>
      <c r="BT40" s="6" t="s">
        <v>25</v>
      </c>
      <c r="BU40" s="6">
        <v>797</v>
      </c>
      <c r="BV40" s="6" t="s">
        <v>26</v>
      </c>
      <c r="BW40" s="6">
        <v>4488</v>
      </c>
      <c r="BX40" s="6">
        <v>-1.31045233576594e-6</v>
      </c>
      <c r="BY40" s="6">
        <v>-1.39424851918096e-6</v>
      </c>
      <c r="BZ40" s="6">
        <v>1.53522951367846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</row>
    <row r="41" spans="1:10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4"/>
      <c r="AM41" s="4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4"/>
      <c r="AZ41" s="4"/>
      <c r="BA41" s="6" t="s">
        <v>24</v>
      </c>
      <c r="BB41" s="6">
        <v>61</v>
      </c>
      <c r="BC41" s="6" t="s">
        <v>24</v>
      </c>
      <c r="BD41" s="6">
        <v>340</v>
      </c>
      <c r="BE41" s="6" t="s">
        <v>25</v>
      </c>
      <c r="BF41" s="6">
        <v>676</v>
      </c>
      <c r="BG41" s="6" t="s">
        <v>26</v>
      </c>
      <c r="BH41" s="6">
        <v>3750</v>
      </c>
      <c r="BI41" s="6">
        <v>-1.68825327928775e-6</v>
      </c>
      <c r="BJ41" s="6">
        <v>-1.78079306273491e-6</v>
      </c>
      <c r="BK41" s="6">
        <v>1.58837929772539</v>
      </c>
      <c r="BL41" s="4"/>
      <c r="BM41" s="4">
        <f t="shared" si="0"/>
        <v>637.12</v>
      </c>
      <c r="BN41" s="15">
        <f t="shared" si="1"/>
        <v>576.12</v>
      </c>
      <c r="BO41" s="6"/>
      <c r="BP41" s="6" t="s">
        <v>24</v>
      </c>
      <c r="BQ41" s="6">
        <v>61</v>
      </c>
      <c r="BR41" s="6" t="s">
        <v>24</v>
      </c>
      <c r="BS41" s="6">
        <v>340</v>
      </c>
      <c r="BT41" s="6" t="s">
        <v>25</v>
      </c>
      <c r="BU41" s="6">
        <v>861</v>
      </c>
      <c r="BV41" s="6" t="s">
        <v>26</v>
      </c>
      <c r="BW41" s="6">
        <v>4860</v>
      </c>
      <c r="BX41" s="6">
        <v>-1.1875703579106e-6</v>
      </c>
      <c r="BY41" s="6">
        <v>-1.23313823771541e-6</v>
      </c>
      <c r="BZ41" s="6">
        <v>1.50487176978231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</row>
    <row r="42" spans="1:10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4"/>
      <c r="AM42" s="4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4"/>
      <c r="AZ42" s="4"/>
      <c r="BA42" s="6" t="s">
        <v>24</v>
      </c>
      <c r="BB42" s="6">
        <v>61</v>
      </c>
      <c r="BC42" s="6" t="s">
        <v>24</v>
      </c>
      <c r="BD42" s="6">
        <v>340</v>
      </c>
      <c r="BE42" s="6" t="s">
        <v>25</v>
      </c>
      <c r="BF42" s="6">
        <v>729</v>
      </c>
      <c r="BG42" s="6" t="s">
        <v>26</v>
      </c>
      <c r="BH42" s="6">
        <v>4056</v>
      </c>
      <c r="BI42" s="6">
        <v>-1.47308363926584e-6</v>
      </c>
      <c r="BJ42" s="6">
        <v>-1.55791177783241e-6</v>
      </c>
      <c r="BK42" s="6">
        <v>1.55922966040621</v>
      </c>
      <c r="BL42" s="4"/>
      <c r="BM42" s="4">
        <f t="shared" si="0"/>
        <v>688.08</v>
      </c>
      <c r="BN42" s="15">
        <f t="shared" si="1"/>
        <v>627.08</v>
      </c>
      <c r="BO42" s="6"/>
      <c r="BP42" s="6" t="s">
        <v>24</v>
      </c>
      <c r="BQ42" s="6">
        <v>61</v>
      </c>
      <c r="BR42" s="6" t="s">
        <v>24</v>
      </c>
      <c r="BS42" s="6">
        <v>340</v>
      </c>
      <c r="BT42" s="6" t="s">
        <v>25</v>
      </c>
      <c r="BU42" s="6">
        <v>927</v>
      </c>
      <c r="BV42" s="6" t="s">
        <v>26</v>
      </c>
      <c r="BW42" s="6">
        <v>5244</v>
      </c>
      <c r="BX42" s="6">
        <v>-1.17038797485271e-6</v>
      </c>
      <c r="BY42" s="6">
        <v>-1.21337672174488e-6</v>
      </c>
      <c r="BZ42" s="6">
        <v>1.50123677617051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</row>
    <row r="43" ht="23.25" spans="1:10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4"/>
      <c r="AM43" s="4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4"/>
      <c r="AZ43" s="4"/>
      <c r="BA43" s="6" t="s">
        <v>24</v>
      </c>
      <c r="BB43" s="6">
        <v>61</v>
      </c>
      <c r="BC43" s="6" t="s">
        <v>24</v>
      </c>
      <c r="BD43" s="6">
        <v>340</v>
      </c>
      <c r="BE43" s="6" t="s">
        <v>25</v>
      </c>
      <c r="BF43" s="6">
        <v>784</v>
      </c>
      <c r="BG43" s="6" t="s">
        <v>26</v>
      </c>
      <c r="BH43" s="6">
        <v>4374</v>
      </c>
      <c r="BI43" s="6">
        <v>-1.38579937025961e-6</v>
      </c>
      <c r="BJ43" s="6">
        <v>-1.45072060839832e-6</v>
      </c>
      <c r="BK43" s="6">
        <v>1.54169676342472</v>
      </c>
      <c r="BL43" s="4"/>
      <c r="BM43" s="4">
        <f t="shared" si="0"/>
        <v>744.855</v>
      </c>
      <c r="BN43" s="15">
        <f t="shared" si="1"/>
        <v>683.855</v>
      </c>
      <c r="BO43" s="6"/>
      <c r="BP43" s="6" t="s">
        <v>24</v>
      </c>
      <c r="BQ43" s="6">
        <v>61</v>
      </c>
      <c r="BR43" s="6" t="s">
        <v>24</v>
      </c>
      <c r="BS43" s="6">
        <v>340</v>
      </c>
      <c r="BT43" s="6" t="s">
        <v>25</v>
      </c>
      <c r="BU43" s="6">
        <v>977</v>
      </c>
      <c r="BV43" s="6" t="s">
        <v>26</v>
      </c>
      <c r="BW43" s="6">
        <v>5532</v>
      </c>
      <c r="BX43" s="6">
        <v>-1.15435753879255e-6</v>
      </c>
      <c r="BY43" s="6">
        <v>-1.18611979294723e-6</v>
      </c>
      <c r="BZ43" s="6">
        <v>1.49412500376956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</row>
    <row r="44" ht="23.25" spans="1:10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4"/>
      <c r="AM44" s="4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4"/>
      <c r="AZ44" s="4"/>
      <c r="BA44" s="6" t="s">
        <v>24</v>
      </c>
      <c r="BB44" s="6">
        <v>61</v>
      </c>
      <c r="BC44" s="6" t="s">
        <v>24</v>
      </c>
      <c r="BD44" s="6">
        <v>340</v>
      </c>
      <c r="BE44" s="6" t="s">
        <v>25</v>
      </c>
      <c r="BF44" s="6">
        <v>841</v>
      </c>
      <c r="BG44" s="6" t="s">
        <v>26</v>
      </c>
      <c r="BH44" s="6">
        <v>4704</v>
      </c>
      <c r="BI44" s="6">
        <v>-1.40557616564895e-6</v>
      </c>
      <c r="BJ44" s="6">
        <v>-1.43540372294149e-6</v>
      </c>
      <c r="BK44" s="6">
        <v>1.53363770313108</v>
      </c>
      <c r="BL44" s="4"/>
      <c r="BM44" s="4">
        <f t="shared" si="0"/>
        <v>799.875</v>
      </c>
      <c r="BN44" s="15">
        <f t="shared" si="1"/>
        <v>738.875</v>
      </c>
      <c r="BO44" s="6"/>
      <c r="BP44" s="6" t="s">
        <v>24</v>
      </c>
      <c r="BQ44" s="6">
        <v>61</v>
      </c>
      <c r="BR44" s="6" t="s">
        <v>24</v>
      </c>
      <c r="BS44" s="6">
        <v>340</v>
      </c>
      <c r="BT44" s="6" t="s">
        <v>25</v>
      </c>
      <c r="BU44" s="6">
        <v>1034</v>
      </c>
      <c r="BV44" s="6" t="s">
        <v>26</v>
      </c>
      <c r="BW44" s="6">
        <v>5862</v>
      </c>
      <c r="BX44" s="6">
        <v>-1.08142922073719e-6</v>
      </c>
      <c r="BY44" s="6">
        <v>-1.12162672234052e-6</v>
      </c>
      <c r="BZ44" s="6">
        <v>1.48424629198905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</row>
    <row r="45" spans="1:10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4"/>
      <c r="AZ45" s="4"/>
      <c r="BA45" s="6" t="s">
        <v>24</v>
      </c>
      <c r="BB45" s="6">
        <v>61</v>
      </c>
      <c r="BC45" s="6" t="s">
        <v>24</v>
      </c>
      <c r="BD45" s="6">
        <v>340</v>
      </c>
      <c r="BE45" s="6" t="s">
        <v>25</v>
      </c>
      <c r="BF45" s="6">
        <v>900</v>
      </c>
      <c r="BG45" s="6" t="s">
        <v>26</v>
      </c>
      <c r="BH45" s="6">
        <v>5046</v>
      </c>
      <c r="BI45" s="6">
        <v>-1.23383872225857e-6</v>
      </c>
      <c r="BJ45" s="6">
        <v>-1.28596237753401e-6</v>
      </c>
      <c r="BK45" s="6">
        <v>1.51473601089667</v>
      </c>
      <c r="BL45" s="4"/>
      <c r="BM45" s="4">
        <f t="shared" si="0"/>
        <v>856.855</v>
      </c>
      <c r="BN45" s="15">
        <f t="shared" si="1"/>
        <v>795.855</v>
      </c>
      <c r="BO45" s="6"/>
      <c r="BP45" s="6" t="s">
        <v>24</v>
      </c>
      <c r="BQ45" s="6">
        <v>61</v>
      </c>
      <c r="BR45" s="6" t="s">
        <v>24</v>
      </c>
      <c r="BS45" s="6">
        <v>340</v>
      </c>
      <c r="BT45" s="6" t="s">
        <v>25</v>
      </c>
      <c r="BU45" s="6">
        <v>1085</v>
      </c>
      <c r="BV45" s="6" t="s">
        <v>26</v>
      </c>
      <c r="BW45" s="6">
        <v>6156</v>
      </c>
      <c r="BX45" s="6">
        <v>-1.13150079302892e-6</v>
      </c>
      <c r="BY45" s="6">
        <v>-1.16408134633961e-6</v>
      </c>
      <c r="BZ45" s="6">
        <v>1.49042239593723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</row>
    <row r="46" ht="23.25" spans="1:10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4"/>
      <c r="AM46" s="4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4"/>
      <c r="AZ46" s="4"/>
      <c r="BA46" s="6" t="s">
        <v>24</v>
      </c>
      <c r="BB46" s="6">
        <v>61</v>
      </c>
      <c r="BC46" s="6" t="s">
        <v>24</v>
      </c>
      <c r="BD46" s="6">
        <v>340</v>
      </c>
      <c r="BE46" s="6" t="s">
        <v>25</v>
      </c>
      <c r="BF46" s="6">
        <v>961</v>
      </c>
      <c r="BG46" s="6" t="s">
        <v>26</v>
      </c>
      <c r="BH46" s="6">
        <v>5400</v>
      </c>
      <c r="BI46" s="6">
        <v>-1.22412524580293e-6</v>
      </c>
      <c r="BJ46" s="6">
        <v>-1.27108926880033e-6</v>
      </c>
      <c r="BK46" s="6">
        <v>1.5109975411</v>
      </c>
      <c r="BL46" s="4"/>
      <c r="BM46" s="4">
        <f t="shared" si="0"/>
        <v>915.795</v>
      </c>
      <c r="BN46" s="15">
        <f t="shared" si="1"/>
        <v>854.795</v>
      </c>
      <c r="BO46" s="6"/>
      <c r="BP46" s="6" t="s">
        <v>24</v>
      </c>
      <c r="BQ46" s="6">
        <v>61</v>
      </c>
      <c r="BR46" s="6" t="s">
        <v>24</v>
      </c>
      <c r="BS46" s="6">
        <v>340</v>
      </c>
      <c r="BT46" s="6" t="s">
        <v>25</v>
      </c>
      <c r="BU46" s="6">
        <v>1177</v>
      </c>
      <c r="BV46" s="6" t="s">
        <v>26</v>
      </c>
      <c r="BW46" s="6">
        <v>6696</v>
      </c>
      <c r="BX46" s="6">
        <v>-1.04675087802036e-6</v>
      </c>
      <c r="BY46" s="6">
        <v>-1.07858890592627e-6</v>
      </c>
      <c r="BZ46" s="6">
        <v>1.47414801373321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</row>
    <row r="47" ht="23.25" spans="1:10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4"/>
      <c r="AM47" s="4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4"/>
      <c r="AZ47" s="4"/>
      <c r="BA47" s="6" t="s">
        <v>24</v>
      </c>
      <c r="BB47" s="6">
        <v>61</v>
      </c>
      <c r="BC47" s="6" t="s">
        <v>24</v>
      </c>
      <c r="BD47" s="6">
        <v>340</v>
      </c>
      <c r="BE47" s="6" t="s">
        <v>25</v>
      </c>
      <c r="BF47" s="6">
        <v>1024</v>
      </c>
      <c r="BG47" s="6" t="s">
        <v>26</v>
      </c>
      <c r="BH47" s="6">
        <v>5766</v>
      </c>
      <c r="BI47" s="6">
        <v>-1.18451646913309e-6</v>
      </c>
      <c r="BJ47" s="6">
        <v>-1.2210809432711e-6</v>
      </c>
      <c r="BK47" s="6">
        <v>1.50081167826258</v>
      </c>
      <c r="BL47" s="4"/>
      <c r="BM47" s="4">
        <f t="shared" si="0"/>
        <v>976.695</v>
      </c>
      <c r="BN47" s="15">
        <f t="shared" si="1"/>
        <v>915.695</v>
      </c>
      <c r="BO47" s="6"/>
      <c r="BP47" s="6" t="s">
        <v>24</v>
      </c>
      <c r="BQ47" s="6">
        <v>61</v>
      </c>
      <c r="BR47" s="6" t="s">
        <v>24</v>
      </c>
      <c r="BS47" s="6">
        <v>340</v>
      </c>
      <c r="BT47" s="6" t="s">
        <v>25</v>
      </c>
      <c r="BU47" s="6">
        <v>1243</v>
      </c>
      <c r="BV47" s="6" t="s">
        <v>26</v>
      </c>
      <c r="BW47" s="6">
        <v>7080</v>
      </c>
      <c r="BX47" s="6">
        <v>-1.0676352770461e-6</v>
      </c>
      <c r="BY47" s="6">
        <v>-1.09259758246157e-6</v>
      </c>
      <c r="BZ47" s="6">
        <v>1.47557700865731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</row>
    <row r="48" spans="1:10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6" t="s">
        <v>24</v>
      </c>
      <c r="BB48" s="6">
        <v>61</v>
      </c>
      <c r="BC48" s="6" t="s">
        <v>24</v>
      </c>
      <c r="BD48" s="6">
        <v>340</v>
      </c>
      <c r="BE48" s="6" t="s">
        <v>25</v>
      </c>
      <c r="BF48" s="6">
        <v>1089</v>
      </c>
      <c r="BG48" s="6" t="s">
        <v>26</v>
      </c>
      <c r="BH48" s="6">
        <v>6144</v>
      </c>
      <c r="BI48" s="6">
        <v>-1.12076032534705e-6</v>
      </c>
      <c r="BJ48" s="6">
        <v>-1.16182774327429e-6</v>
      </c>
      <c r="BK48" s="6">
        <v>1.49138325853958</v>
      </c>
      <c r="BL48" s="4"/>
      <c r="BM48" s="4">
        <f t="shared" si="0"/>
        <v>1039.555</v>
      </c>
      <c r="BN48" s="15">
        <f t="shared" si="1"/>
        <v>978.555</v>
      </c>
      <c r="BO48" s="6"/>
      <c r="BP48" s="6" t="s">
        <v>24</v>
      </c>
      <c r="BQ48" s="6">
        <v>61</v>
      </c>
      <c r="BR48" s="6" t="s">
        <v>24</v>
      </c>
      <c r="BS48" s="6">
        <v>340</v>
      </c>
      <c r="BT48" s="6" t="s">
        <v>25</v>
      </c>
      <c r="BU48" s="6">
        <v>1325</v>
      </c>
      <c r="BV48" s="6" t="s">
        <v>26</v>
      </c>
      <c r="BW48" s="6">
        <v>7560</v>
      </c>
      <c r="BX48" s="6">
        <v>-1.03305969248131e-6</v>
      </c>
      <c r="BY48" s="6">
        <v>-1.06361404681267e-6</v>
      </c>
      <c r="BZ48" s="6">
        <v>1.47082627042059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</row>
    <row r="49" ht="23.25" spans="1:10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4"/>
      <c r="AM49" s="4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4"/>
      <c r="AZ49" s="4"/>
      <c r="BA49" s="10" t="s">
        <v>27</v>
      </c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4"/>
      <c r="BM49" s="4"/>
      <c r="BN49" s="15"/>
      <c r="BO49" s="3"/>
      <c r="BP49" s="10" t="s">
        <v>27</v>
      </c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</row>
    <row r="50" ht="23.25" spans="1:10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4"/>
      <c r="AM50" s="4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4"/>
      <c r="AZ50" s="4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4"/>
      <c r="BM50" s="4"/>
      <c r="BN50" s="15"/>
      <c r="BO50" s="3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</row>
    <row r="51" spans="1:10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4"/>
      <c r="AM51" s="4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4"/>
      <c r="AZ51" s="4"/>
      <c r="BA51" s="6" t="s">
        <v>12</v>
      </c>
      <c r="BB51" s="6" t="s">
        <v>13</v>
      </c>
      <c r="BC51" s="6" t="s">
        <v>14</v>
      </c>
      <c r="BD51" s="6" t="s">
        <v>15</v>
      </c>
      <c r="BE51" s="6" t="s">
        <v>16</v>
      </c>
      <c r="BF51" s="6" t="s">
        <v>17</v>
      </c>
      <c r="BG51" s="6" t="s">
        <v>18</v>
      </c>
      <c r="BH51" s="6" t="s">
        <v>19</v>
      </c>
      <c r="BI51" s="6" t="s">
        <v>20</v>
      </c>
      <c r="BJ51" s="6" t="s">
        <v>21</v>
      </c>
      <c r="BK51" s="6" t="s">
        <v>22</v>
      </c>
      <c r="BL51" s="4"/>
      <c r="BM51" s="4"/>
      <c r="BN51" s="15"/>
      <c r="BO51" s="4"/>
      <c r="BP51" s="6" t="s">
        <v>12</v>
      </c>
      <c r="BQ51" s="6" t="s">
        <v>13</v>
      </c>
      <c r="BR51" s="6" t="s">
        <v>14</v>
      </c>
      <c r="BS51" s="6" t="s">
        <v>15</v>
      </c>
      <c r="BT51" s="6" t="s">
        <v>16</v>
      </c>
      <c r="BU51" s="6" t="s">
        <v>17</v>
      </c>
      <c r="BV51" s="6" t="s">
        <v>18</v>
      </c>
      <c r="BW51" s="6" t="s">
        <v>19</v>
      </c>
      <c r="BX51" s="6" t="s">
        <v>20</v>
      </c>
      <c r="BY51" s="6" t="s">
        <v>21</v>
      </c>
      <c r="BZ51" s="6" t="s">
        <v>22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</row>
    <row r="52" spans="1:10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4"/>
      <c r="AM52" s="4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4"/>
      <c r="AZ52" s="4"/>
      <c r="BA52" s="6" t="s">
        <v>24</v>
      </c>
      <c r="BB52" s="6">
        <v>71</v>
      </c>
      <c r="BC52" s="6" t="s">
        <v>24</v>
      </c>
      <c r="BD52" s="6">
        <v>340</v>
      </c>
      <c r="BE52" s="6" t="s">
        <v>25</v>
      </c>
      <c r="BF52" s="6">
        <v>64</v>
      </c>
      <c r="BG52" s="6" t="s">
        <v>26</v>
      </c>
      <c r="BH52" s="6">
        <v>294</v>
      </c>
      <c r="BI52" s="6">
        <v>2.35034160220424</v>
      </c>
      <c r="BJ52" s="6">
        <v>3.4714343120827</v>
      </c>
      <c r="BK52" s="6">
        <v>0.573627042490918</v>
      </c>
      <c r="BL52" s="4"/>
      <c r="BM52" s="4">
        <f t="shared" ref="BM52:BM78" si="2">(FLOOR(((SQRT(1+8*BF52)-3))/2,0.1)*(FLOOR(((SQRT(1+8*BF52)-3))/2,0.1)+1))/2</f>
        <v>52.92</v>
      </c>
      <c r="BN52" s="15">
        <f t="shared" ref="BN49:BN112" si="3">ABS(BB52-BM52)</f>
        <v>18.08</v>
      </c>
      <c r="BO52" s="6"/>
      <c r="BP52" s="6" t="s">
        <v>24</v>
      </c>
      <c r="BQ52" s="6">
        <v>71</v>
      </c>
      <c r="BR52" s="6" t="s">
        <v>24</v>
      </c>
      <c r="BS52" s="6">
        <v>340</v>
      </c>
      <c r="BT52" s="6" t="s">
        <v>25</v>
      </c>
      <c r="BU52" s="6">
        <v>71</v>
      </c>
      <c r="BV52" s="6" t="s">
        <v>26</v>
      </c>
      <c r="BW52" s="6">
        <v>336</v>
      </c>
      <c r="BX52" s="6">
        <v>-0.82641026134009</v>
      </c>
      <c r="BY52" s="6">
        <v>-0.191352555798552</v>
      </c>
      <c r="BZ52" s="6">
        <v>-0.468960109893946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</row>
    <row r="53" spans="1:10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4"/>
      <c r="AM53" s="4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4"/>
      <c r="AZ53" s="4"/>
      <c r="BA53" s="11" t="s">
        <v>24</v>
      </c>
      <c r="BB53" s="11">
        <v>71</v>
      </c>
      <c r="BC53" s="11" t="s">
        <v>24</v>
      </c>
      <c r="BD53" s="11">
        <v>340</v>
      </c>
      <c r="BE53" s="11" t="s">
        <v>25</v>
      </c>
      <c r="BF53" s="11">
        <v>81</v>
      </c>
      <c r="BG53" s="11" t="s">
        <v>26</v>
      </c>
      <c r="BH53" s="11">
        <v>384</v>
      </c>
      <c r="BI53" s="11">
        <v>-0.884163016873086</v>
      </c>
      <c r="BJ53" s="11">
        <v>-0.286001105495861</v>
      </c>
      <c r="BK53" s="11">
        <v>-0.444065070668442</v>
      </c>
      <c r="BL53" s="12"/>
      <c r="BM53" s="12">
        <f t="shared" si="2"/>
        <v>68.32</v>
      </c>
      <c r="BN53" s="15">
        <f t="shared" si="3"/>
        <v>2.67999999999999</v>
      </c>
      <c r="BO53" s="6"/>
      <c r="BP53" s="6" t="s">
        <v>24</v>
      </c>
      <c r="BQ53" s="6">
        <v>71</v>
      </c>
      <c r="BR53" s="6" t="s">
        <v>24</v>
      </c>
      <c r="BS53" s="6">
        <v>340</v>
      </c>
      <c r="BT53" s="6" t="s">
        <v>25</v>
      </c>
      <c r="BU53" s="6">
        <v>97</v>
      </c>
      <c r="BV53" s="6" t="s">
        <v>26</v>
      </c>
      <c r="BW53" s="6">
        <v>480</v>
      </c>
      <c r="BX53" s="6">
        <v>-1.54263070336547</v>
      </c>
      <c r="BY53" s="6">
        <v>-1.17398445877576</v>
      </c>
      <c r="BZ53" s="6">
        <v>-0.474209717266892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</row>
    <row r="54" spans="1:10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4"/>
      <c r="AM54" s="4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4"/>
      <c r="AZ54" s="4"/>
      <c r="BA54" s="6" t="s">
        <v>24</v>
      </c>
      <c r="BB54" s="6">
        <v>71</v>
      </c>
      <c r="BC54" s="6" t="s">
        <v>24</v>
      </c>
      <c r="BD54" s="6">
        <v>340</v>
      </c>
      <c r="BE54" s="6" t="s">
        <v>25</v>
      </c>
      <c r="BF54" s="6">
        <v>100</v>
      </c>
      <c r="BG54" s="6" t="s">
        <v>26</v>
      </c>
      <c r="BH54" s="6">
        <v>486</v>
      </c>
      <c r="BI54" s="6">
        <v>-1.22449423337909</v>
      </c>
      <c r="BJ54" s="6">
        <v>-0.960021408447079</v>
      </c>
      <c r="BK54" s="6">
        <v>-0.10287891602429</v>
      </c>
      <c r="BL54" s="4"/>
      <c r="BM54" s="4">
        <f t="shared" si="2"/>
        <v>85.68</v>
      </c>
      <c r="BN54" s="15">
        <f t="shared" si="3"/>
        <v>14.68</v>
      </c>
      <c r="BO54" s="6"/>
      <c r="BP54" s="6" t="s">
        <v>24</v>
      </c>
      <c r="BQ54" s="6">
        <v>71</v>
      </c>
      <c r="BR54" s="6" t="s">
        <v>24</v>
      </c>
      <c r="BS54" s="6">
        <v>340</v>
      </c>
      <c r="BT54" s="6" t="s">
        <v>25</v>
      </c>
      <c r="BU54" s="6">
        <v>122</v>
      </c>
      <c r="BV54" s="6" t="s">
        <v>26</v>
      </c>
      <c r="BW54" s="6">
        <v>618</v>
      </c>
      <c r="BX54" s="6">
        <v>-1.2577113517683</v>
      </c>
      <c r="BY54" s="6">
        <v>-1.03022001821472</v>
      </c>
      <c r="BZ54" s="6">
        <v>-0.18943276562163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</row>
    <row r="55" ht="23.25" spans="1:10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4"/>
      <c r="Z55" s="4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4"/>
      <c r="AM55" s="4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4"/>
      <c r="AZ55" s="4"/>
      <c r="BA55" s="6" t="s">
        <v>24</v>
      </c>
      <c r="BB55" s="6">
        <v>71</v>
      </c>
      <c r="BC55" s="6" t="s">
        <v>24</v>
      </c>
      <c r="BD55" s="6">
        <v>340</v>
      </c>
      <c r="BE55" s="6" t="s">
        <v>25</v>
      </c>
      <c r="BF55" s="6">
        <v>121</v>
      </c>
      <c r="BG55" s="6" t="s">
        <v>26</v>
      </c>
      <c r="BH55" s="6">
        <v>600</v>
      </c>
      <c r="BI55" s="6">
        <v>-1.13800382345146</v>
      </c>
      <c r="BJ55" s="6">
        <v>-0.934124612302101</v>
      </c>
      <c r="BK55" s="6">
        <v>-0.0282983927341181</v>
      </c>
      <c r="BL55" s="4"/>
      <c r="BM55" s="4">
        <f t="shared" si="2"/>
        <v>105</v>
      </c>
      <c r="BN55" s="15">
        <f t="shared" si="3"/>
        <v>34</v>
      </c>
      <c r="BO55" s="6"/>
      <c r="BP55" s="6" t="s">
        <v>24</v>
      </c>
      <c r="BQ55" s="6">
        <v>71</v>
      </c>
      <c r="BR55" s="6" t="s">
        <v>24</v>
      </c>
      <c r="BS55" s="6">
        <v>340</v>
      </c>
      <c r="BT55" s="6" t="s">
        <v>25</v>
      </c>
      <c r="BU55" s="6">
        <v>165</v>
      </c>
      <c r="BV55" s="6" t="s">
        <v>26</v>
      </c>
      <c r="BW55" s="6">
        <v>864</v>
      </c>
      <c r="BX55" s="6">
        <v>-0.744958504263323</v>
      </c>
      <c r="BY55" s="6">
        <v>-0.67770548289169</v>
      </c>
      <c r="BZ55" s="6">
        <v>0.146624175601167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</row>
    <row r="56" ht="23.25" spans="1:10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4"/>
      <c r="Z56" s="4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4"/>
      <c r="AM56" s="4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4"/>
      <c r="AZ56" s="4"/>
      <c r="BA56" s="6" t="s">
        <v>24</v>
      </c>
      <c r="BB56" s="6">
        <v>71</v>
      </c>
      <c r="BC56" s="6" t="s">
        <v>24</v>
      </c>
      <c r="BD56" s="6">
        <v>340</v>
      </c>
      <c r="BE56" s="6" t="s">
        <v>25</v>
      </c>
      <c r="BF56" s="6">
        <v>144</v>
      </c>
      <c r="BG56" s="6" t="s">
        <v>26</v>
      </c>
      <c r="BH56" s="6">
        <v>726</v>
      </c>
      <c r="BI56" s="6">
        <v>-0.855289762731782</v>
      </c>
      <c r="BJ56" s="6">
        <v>-0.752169740645074</v>
      </c>
      <c r="BK56" s="6">
        <v>0.100725564892518</v>
      </c>
      <c r="BL56" s="4"/>
      <c r="BM56" s="4">
        <f t="shared" si="2"/>
        <v>126.28</v>
      </c>
      <c r="BN56" s="15">
        <f t="shared" si="3"/>
        <v>55.28</v>
      </c>
      <c r="BO56" s="6"/>
      <c r="BP56" s="6" t="s">
        <v>24</v>
      </c>
      <c r="BQ56" s="6">
        <v>71</v>
      </c>
      <c r="BR56" s="6" t="s">
        <v>24</v>
      </c>
      <c r="BS56" s="6">
        <v>340</v>
      </c>
      <c r="BT56" s="6" t="s">
        <v>25</v>
      </c>
      <c r="BU56" s="6">
        <v>174</v>
      </c>
      <c r="BV56" s="6" t="s">
        <v>26</v>
      </c>
      <c r="BW56" s="6">
        <v>906</v>
      </c>
      <c r="BX56" s="6">
        <v>-0.696214473661957</v>
      </c>
      <c r="BY56" s="6">
        <v>-0.642823526617407</v>
      </c>
      <c r="BZ56" s="6">
        <v>0.175396487536042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</row>
    <row r="57" spans="1:10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4"/>
      <c r="AM57" s="4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4"/>
      <c r="AZ57" s="4"/>
      <c r="BA57" s="6" t="s">
        <v>24</v>
      </c>
      <c r="BB57" s="6">
        <v>71</v>
      </c>
      <c r="BC57" s="6" t="s">
        <v>24</v>
      </c>
      <c r="BD57" s="6">
        <v>340</v>
      </c>
      <c r="BE57" s="6" t="s">
        <v>25</v>
      </c>
      <c r="BF57" s="6">
        <v>169</v>
      </c>
      <c r="BG57" s="6" t="s">
        <v>26</v>
      </c>
      <c r="BH57" s="6">
        <v>864</v>
      </c>
      <c r="BI57" s="6">
        <v>-0.808397379425916</v>
      </c>
      <c r="BJ57" s="6">
        <v>-0.722360719250727</v>
      </c>
      <c r="BK57" s="6">
        <v>0.137389514904666</v>
      </c>
      <c r="BL57" s="4"/>
      <c r="BM57" s="4">
        <f t="shared" si="2"/>
        <v>149.52</v>
      </c>
      <c r="BN57" s="15">
        <f t="shared" si="3"/>
        <v>78.52</v>
      </c>
      <c r="BO57" s="6"/>
      <c r="BP57" s="6" t="s">
        <v>24</v>
      </c>
      <c r="BQ57" s="6">
        <v>71</v>
      </c>
      <c r="BR57" s="6" t="s">
        <v>24</v>
      </c>
      <c r="BS57" s="6">
        <v>340</v>
      </c>
      <c r="BT57" s="6" t="s">
        <v>25</v>
      </c>
      <c r="BU57" s="6">
        <v>209</v>
      </c>
      <c r="BV57" s="6" t="s">
        <v>26</v>
      </c>
      <c r="BW57" s="6">
        <v>1104</v>
      </c>
      <c r="BX57" s="6">
        <v>-0.594200299163086</v>
      </c>
      <c r="BY57" s="6">
        <v>-0.560941909889413</v>
      </c>
      <c r="BZ57" s="6">
        <v>0.225270703884964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</row>
    <row r="58" spans="1:10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4"/>
      <c r="AM58" s="4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4"/>
      <c r="AZ58" s="4"/>
      <c r="BA58" s="6" t="s">
        <v>24</v>
      </c>
      <c r="BB58" s="6">
        <v>71</v>
      </c>
      <c r="BC58" s="6" t="s">
        <v>24</v>
      </c>
      <c r="BD58" s="6">
        <v>340</v>
      </c>
      <c r="BE58" s="6" t="s">
        <v>25</v>
      </c>
      <c r="BF58" s="6">
        <v>196</v>
      </c>
      <c r="BG58" s="6" t="s">
        <v>26</v>
      </c>
      <c r="BH58" s="6">
        <v>1014</v>
      </c>
      <c r="BI58" s="6">
        <v>-0.691059583241707</v>
      </c>
      <c r="BJ58" s="6">
        <v>-0.627427077982242</v>
      </c>
      <c r="BK58" s="6">
        <v>0.227840574651785</v>
      </c>
      <c r="BL58" s="4"/>
      <c r="BM58" s="4">
        <f t="shared" si="2"/>
        <v>176.595</v>
      </c>
      <c r="BN58" s="15">
        <f t="shared" si="3"/>
        <v>105.595</v>
      </c>
      <c r="BO58" s="6"/>
      <c r="BP58" s="6" t="s">
        <v>24</v>
      </c>
      <c r="BQ58" s="6">
        <v>71</v>
      </c>
      <c r="BR58" s="6" t="s">
        <v>24</v>
      </c>
      <c r="BS58" s="6">
        <v>340</v>
      </c>
      <c r="BT58" s="6" t="s">
        <v>25</v>
      </c>
      <c r="BU58" s="6">
        <v>238</v>
      </c>
      <c r="BV58" s="6" t="s">
        <v>26</v>
      </c>
      <c r="BW58" s="6">
        <v>1266</v>
      </c>
      <c r="BX58" s="6">
        <v>-0.513607629043803</v>
      </c>
      <c r="BY58" s="6">
        <v>-0.494545157128652</v>
      </c>
      <c r="BZ58" s="6">
        <v>0.300746779311378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</row>
    <row r="59" spans="1:10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4"/>
      <c r="AM59" s="4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4"/>
      <c r="AZ59" s="4"/>
      <c r="BA59" s="6" t="s">
        <v>24</v>
      </c>
      <c r="BB59" s="6">
        <v>71</v>
      </c>
      <c r="BC59" s="6" t="s">
        <v>24</v>
      </c>
      <c r="BD59" s="6">
        <v>340</v>
      </c>
      <c r="BE59" s="6" t="s">
        <v>25</v>
      </c>
      <c r="BF59" s="6">
        <v>225</v>
      </c>
      <c r="BG59" s="6" t="s">
        <v>26</v>
      </c>
      <c r="BH59" s="6">
        <v>1176</v>
      </c>
      <c r="BI59" s="6">
        <v>-0.636059501904509</v>
      </c>
      <c r="BJ59" s="6">
        <v>-0.595290539522966</v>
      </c>
      <c r="BK59" s="6">
        <v>0.251131960723076</v>
      </c>
      <c r="BL59" s="4"/>
      <c r="BM59" s="4">
        <f t="shared" si="2"/>
        <v>203.895</v>
      </c>
      <c r="BN59" s="15">
        <f t="shared" si="3"/>
        <v>132.895</v>
      </c>
      <c r="BO59" s="6"/>
      <c r="BP59" s="6" t="s">
        <v>24</v>
      </c>
      <c r="BQ59" s="6">
        <v>71</v>
      </c>
      <c r="BR59" s="6" t="s">
        <v>24</v>
      </c>
      <c r="BS59" s="6">
        <v>340</v>
      </c>
      <c r="BT59" s="6" t="s">
        <v>25</v>
      </c>
      <c r="BU59" s="6">
        <v>256</v>
      </c>
      <c r="BV59" s="6" t="s">
        <v>26</v>
      </c>
      <c r="BW59" s="6">
        <v>1362</v>
      </c>
      <c r="BX59" s="6">
        <v>-0.510620852486276</v>
      </c>
      <c r="BY59" s="6">
        <v>-0.493944392962841</v>
      </c>
      <c r="BZ59" s="6">
        <v>0.364441613606224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</row>
    <row r="60" spans="1:10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4"/>
      <c r="AM60" s="4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4"/>
      <c r="AZ60" s="4"/>
      <c r="BA60" s="6" t="s">
        <v>24</v>
      </c>
      <c r="BB60" s="6">
        <v>71</v>
      </c>
      <c r="BC60" s="6" t="s">
        <v>24</v>
      </c>
      <c r="BD60" s="6">
        <v>340</v>
      </c>
      <c r="BE60" s="6" t="s">
        <v>25</v>
      </c>
      <c r="BF60" s="6">
        <v>256</v>
      </c>
      <c r="BG60" s="6" t="s">
        <v>26</v>
      </c>
      <c r="BH60" s="6">
        <v>1350</v>
      </c>
      <c r="BI60" s="6">
        <v>-0.500256478662591</v>
      </c>
      <c r="BJ60" s="6">
        <v>-0.474748077599131</v>
      </c>
      <c r="BK60" s="6">
        <v>0.451051617901045</v>
      </c>
      <c r="BL60" s="4"/>
      <c r="BM60" s="4">
        <f t="shared" si="2"/>
        <v>233.155</v>
      </c>
      <c r="BN60" s="15">
        <f t="shared" si="3"/>
        <v>162.155</v>
      </c>
      <c r="BO60" s="6"/>
      <c r="BP60" s="6" t="s">
        <v>24</v>
      </c>
      <c r="BQ60" s="6">
        <v>71</v>
      </c>
      <c r="BR60" s="6" t="s">
        <v>24</v>
      </c>
      <c r="BS60" s="6">
        <v>340</v>
      </c>
      <c r="BT60" s="6" t="s">
        <v>25</v>
      </c>
      <c r="BU60" s="6">
        <v>297</v>
      </c>
      <c r="BV60" s="6" t="s">
        <v>26</v>
      </c>
      <c r="BW60" s="6">
        <v>1596</v>
      </c>
      <c r="BX60" s="6">
        <v>-0.371146263049032</v>
      </c>
      <c r="BY60" s="6">
        <v>-0.380714632440423</v>
      </c>
      <c r="BZ60" s="6">
        <v>0.463989912656266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</row>
    <row r="61" spans="1:10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4"/>
      <c r="AM61" s="4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4"/>
      <c r="AZ61" s="4"/>
      <c r="BA61" s="6" t="s">
        <v>24</v>
      </c>
      <c r="BB61" s="6">
        <v>71</v>
      </c>
      <c r="BC61" s="6" t="s">
        <v>24</v>
      </c>
      <c r="BD61" s="6">
        <v>340</v>
      </c>
      <c r="BE61" s="6" t="s">
        <v>25</v>
      </c>
      <c r="BF61" s="6">
        <v>289</v>
      </c>
      <c r="BG61" s="6" t="s">
        <v>26</v>
      </c>
      <c r="BH61" s="6">
        <v>1536</v>
      </c>
      <c r="BI61" s="6">
        <v>-0.461696695414715</v>
      </c>
      <c r="BJ61" s="6">
        <v>-0.443615189246662</v>
      </c>
      <c r="BK61" s="6">
        <v>0.537956290993747</v>
      </c>
      <c r="BL61" s="4"/>
      <c r="BM61" s="4">
        <f t="shared" si="2"/>
        <v>264.375</v>
      </c>
      <c r="BN61" s="15">
        <f t="shared" si="3"/>
        <v>193.375</v>
      </c>
      <c r="BO61" s="6"/>
      <c r="BP61" s="6" t="s">
        <v>24</v>
      </c>
      <c r="BQ61" s="6">
        <v>71</v>
      </c>
      <c r="BR61" s="6" t="s">
        <v>24</v>
      </c>
      <c r="BS61" s="6">
        <v>340</v>
      </c>
      <c r="BT61" s="6" t="s">
        <v>25</v>
      </c>
      <c r="BU61" s="6">
        <v>340</v>
      </c>
      <c r="BV61" s="6" t="s">
        <v>26</v>
      </c>
      <c r="BW61" s="6">
        <v>1842</v>
      </c>
      <c r="BX61" s="6">
        <v>-0.458720166746921</v>
      </c>
      <c r="BY61" s="6">
        <v>-0.453533419213147</v>
      </c>
      <c r="BZ61" s="6">
        <v>0.294981918564116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</row>
    <row r="62" spans="1:10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4"/>
      <c r="AM62" s="4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4"/>
      <c r="AZ62" s="4"/>
      <c r="BA62" s="6" t="s">
        <v>24</v>
      </c>
      <c r="BB62" s="6">
        <v>71</v>
      </c>
      <c r="BC62" s="6" t="s">
        <v>24</v>
      </c>
      <c r="BD62" s="6">
        <v>340</v>
      </c>
      <c r="BE62" s="6" t="s">
        <v>25</v>
      </c>
      <c r="BF62" s="6">
        <v>324</v>
      </c>
      <c r="BG62" s="6" t="s">
        <v>26</v>
      </c>
      <c r="BH62" s="6">
        <v>1734</v>
      </c>
      <c r="BI62" s="6">
        <v>-0.297505703647409</v>
      </c>
      <c r="BJ62" s="6">
        <v>-0.27954460112117</v>
      </c>
      <c r="BK62" s="6">
        <v>1.31040731400711</v>
      </c>
      <c r="BL62" s="4"/>
      <c r="BM62" s="4">
        <f t="shared" si="2"/>
        <v>297.555</v>
      </c>
      <c r="BN62" s="15">
        <f t="shared" si="3"/>
        <v>226.555</v>
      </c>
      <c r="BO62" s="6"/>
      <c r="BP62" s="6" t="s">
        <v>24</v>
      </c>
      <c r="BQ62" s="6">
        <v>71</v>
      </c>
      <c r="BR62" s="6" t="s">
        <v>24</v>
      </c>
      <c r="BS62" s="6">
        <v>340</v>
      </c>
      <c r="BT62" s="6" t="s">
        <v>25</v>
      </c>
      <c r="BU62" s="6">
        <v>380</v>
      </c>
      <c r="BV62" s="6" t="s">
        <v>26</v>
      </c>
      <c r="BW62" s="6">
        <v>2070</v>
      </c>
      <c r="BX62" s="6">
        <v>8.95627232797683e-6</v>
      </c>
      <c r="BY62" s="6">
        <v>-2.16210603421986e-5</v>
      </c>
      <c r="BZ62" s="6">
        <v>2.27804137747003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</row>
    <row r="63" spans="1:10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4"/>
      <c r="AM63" s="4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4"/>
      <c r="AZ63" s="4"/>
      <c r="BA63" s="6" t="s">
        <v>24</v>
      </c>
      <c r="BB63" s="6">
        <v>71</v>
      </c>
      <c r="BC63" s="6" t="s">
        <v>24</v>
      </c>
      <c r="BD63" s="6">
        <v>340</v>
      </c>
      <c r="BE63" s="6" t="s">
        <v>25</v>
      </c>
      <c r="BF63" s="6">
        <v>361</v>
      </c>
      <c r="BG63" s="6" t="s">
        <v>26</v>
      </c>
      <c r="BH63" s="6">
        <v>1944</v>
      </c>
      <c r="BI63" s="6">
        <v>-0.019569908537859</v>
      </c>
      <c r="BJ63" s="6">
        <v>-0.0212536360583489</v>
      </c>
      <c r="BK63" s="6">
        <v>2.19054913030666</v>
      </c>
      <c r="BL63" s="4"/>
      <c r="BM63" s="4">
        <f t="shared" si="2"/>
        <v>332.695</v>
      </c>
      <c r="BN63" s="15">
        <f t="shared" si="3"/>
        <v>261.695</v>
      </c>
      <c r="BO63" s="6"/>
      <c r="BP63" s="6" t="s">
        <v>24</v>
      </c>
      <c r="BQ63" s="6">
        <v>71</v>
      </c>
      <c r="BR63" s="6" t="s">
        <v>24</v>
      </c>
      <c r="BS63" s="6">
        <v>340</v>
      </c>
      <c r="BT63" s="6" t="s">
        <v>25</v>
      </c>
      <c r="BU63" s="6">
        <v>435</v>
      </c>
      <c r="BV63" s="6" t="s">
        <v>26</v>
      </c>
      <c r="BW63" s="6">
        <v>2388</v>
      </c>
      <c r="BX63" s="6">
        <v>-1.90967563351405e-6</v>
      </c>
      <c r="BY63" s="6">
        <v>-1.77876850104395e-6</v>
      </c>
      <c r="BZ63" s="6">
        <v>1.54737703715171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</row>
    <row r="64" spans="1:10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4"/>
      <c r="AM64" s="4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4"/>
      <c r="AZ64" s="4"/>
      <c r="BA64" s="6" t="s">
        <v>24</v>
      </c>
      <c r="BB64" s="6">
        <v>71</v>
      </c>
      <c r="BC64" s="6" t="s">
        <v>24</v>
      </c>
      <c r="BD64" s="6">
        <v>340</v>
      </c>
      <c r="BE64" s="6" t="s">
        <v>25</v>
      </c>
      <c r="BF64" s="6">
        <v>400</v>
      </c>
      <c r="BG64" s="6" t="s">
        <v>26</v>
      </c>
      <c r="BH64" s="6">
        <v>2166</v>
      </c>
      <c r="BI64" s="6">
        <v>1.28880643686857e-6</v>
      </c>
      <c r="BJ64" s="6">
        <v>-2.51545341310742e-6</v>
      </c>
      <c r="BK64" s="6">
        <v>1.87282663777113</v>
      </c>
      <c r="BL64" s="4"/>
      <c r="BM64" s="4">
        <f t="shared" si="2"/>
        <v>369.795</v>
      </c>
      <c r="BN64" s="15">
        <f t="shared" si="3"/>
        <v>298.795</v>
      </c>
      <c r="BO64" s="6"/>
      <c r="BP64" s="6" t="s">
        <v>24</v>
      </c>
      <c r="BQ64" s="6">
        <v>71</v>
      </c>
      <c r="BR64" s="6" t="s">
        <v>24</v>
      </c>
      <c r="BS64" s="6">
        <v>340</v>
      </c>
      <c r="BT64" s="6" t="s">
        <v>25</v>
      </c>
      <c r="BU64" s="6">
        <v>485</v>
      </c>
      <c r="BV64" s="6" t="s">
        <v>26</v>
      </c>
      <c r="BW64" s="6">
        <v>2676</v>
      </c>
      <c r="BX64" s="6">
        <v>-6.65939829609895e-7</v>
      </c>
      <c r="BY64" s="6">
        <v>-8.53084024611679e-7</v>
      </c>
      <c r="BZ64" s="6">
        <v>1.4481036971312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</row>
    <row r="65" spans="1:10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4"/>
      <c r="AM65" s="4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4"/>
      <c r="AZ65" s="4"/>
      <c r="BA65" s="6" t="s">
        <v>24</v>
      </c>
      <c r="BB65" s="6">
        <v>71</v>
      </c>
      <c r="BC65" s="6" t="s">
        <v>24</v>
      </c>
      <c r="BD65" s="6">
        <v>340</v>
      </c>
      <c r="BE65" s="6" t="s">
        <v>25</v>
      </c>
      <c r="BF65" s="6">
        <v>441</v>
      </c>
      <c r="BG65" s="6" t="s">
        <v>26</v>
      </c>
      <c r="BH65" s="6">
        <v>2400</v>
      </c>
      <c r="BI65" s="6">
        <v>-5.67777666480981e-7</v>
      </c>
      <c r="BJ65" s="6">
        <v>-1.53073956851643e-6</v>
      </c>
      <c r="BK65" s="6">
        <v>1.6556843251685</v>
      </c>
      <c r="BL65" s="4"/>
      <c r="BM65" s="4">
        <f t="shared" si="2"/>
        <v>411.72</v>
      </c>
      <c r="BN65" s="15">
        <f t="shared" si="3"/>
        <v>340.72</v>
      </c>
      <c r="BO65" s="6"/>
      <c r="BP65" s="6" t="s">
        <v>24</v>
      </c>
      <c r="BQ65" s="6">
        <v>71</v>
      </c>
      <c r="BR65" s="6" t="s">
        <v>24</v>
      </c>
      <c r="BS65" s="6">
        <v>340</v>
      </c>
      <c r="BT65" s="6" t="s">
        <v>25</v>
      </c>
      <c r="BU65" s="6">
        <v>564</v>
      </c>
      <c r="BV65" s="6" t="s">
        <v>26</v>
      </c>
      <c r="BW65" s="6">
        <v>3138</v>
      </c>
      <c r="BX65" s="6">
        <v>-4.46216686169299e-7</v>
      </c>
      <c r="BY65" s="6">
        <v>-5.18175154089467e-7</v>
      </c>
      <c r="BZ65" s="6">
        <v>1.32881170745686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</row>
    <row r="66" spans="1:10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4"/>
      <c r="AM66" s="4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4"/>
      <c r="AZ66" s="4"/>
      <c r="BA66" s="6" t="s">
        <v>24</v>
      </c>
      <c r="BB66" s="6">
        <v>71</v>
      </c>
      <c r="BC66" s="6" t="s">
        <v>24</v>
      </c>
      <c r="BD66" s="6">
        <v>340</v>
      </c>
      <c r="BE66" s="6" t="s">
        <v>25</v>
      </c>
      <c r="BF66" s="6">
        <v>484</v>
      </c>
      <c r="BG66" s="6" t="s">
        <v>26</v>
      </c>
      <c r="BH66" s="6">
        <v>2646</v>
      </c>
      <c r="BI66" s="6">
        <v>9.68221062912526e-9</v>
      </c>
      <c r="BJ66" s="6">
        <v>-6.08643880454949e-7</v>
      </c>
      <c r="BK66" s="6">
        <v>1.50392620883347</v>
      </c>
      <c r="BL66" s="4"/>
      <c r="BM66" s="4">
        <f t="shared" si="2"/>
        <v>452.88</v>
      </c>
      <c r="BN66" s="15">
        <f t="shared" si="3"/>
        <v>381.88</v>
      </c>
      <c r="BO66" s="6"/>
      <c r="BP66" s="6" t="s">
        <v>24</v>
      </c>
      <c r="BQ66" s="6">
        <v>71</v>
      </c>
      <c r="BR66" s="6" t="s">
        <v>24</v>
      </c>
      <c r="BS66" s="6">
        <v>340</v>
      </c>
      <c r="BT66" s="6" t="s">
        <v>25</v>
      </c>
      <c r="BU66" s="6">
        <v>598</v>
      </c>
      <c r="BV66" s="6" t="s">
        <v>26</v>
      </c>
      <c r="BW66" s="6">
        <v>3330</v>
      </c>
      <c r="BX66" s="6">
        <v>-2.75928180626256e-7</v>
      </c>
      <c r="BY66" s="6">
        <v>-3.92662482698178e-7</v>
      </c>
      <c r="BZ66" s="6">
        <v>1.30156936943035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</row>
    <row r="67" spans="1:10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4"/>
      <c r="AM67" s="4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4"/>
      <c r="AZ67" s="4"/>
      <c r="BA67" s="6" t="s">
        <v>24</v>
      </c>
      <c r="BB67" s="6">
        <v>71</v>
      </c>
      <c r="BC67" s="6" t="s">
        <v>24</v>
      </c>
      <c r="BD67" s="6">
        <v>340</v>
      </c>
      <c r="BE67" s="6" t="s">
        <v>25</v>
      </c>
      <c r="BF67" s="6">
        <v>529</v>
      </c>
      <c r="BG67" s="6" t="s">
        <v>26</v>
      </c>
      <c r="BH67" s="6">
        <v>2904</v>
      </c>
      <c r="BI67" s="6">
        <v>-4.90441047215145e-7</v>
      </c>
      <c r="BJ67" s="6">
        <v>-7.29049200395525e-7</v>
      </c>
      <c r="BK67" s="6">
        <v>1.43921647415485</v>
      </c>
      <c r="BL67" s="4"/>
      <c r="BM67" s="4">
        <f t="shared" si="2"/>
        <v>496</v>
      </c>
      <c r="BN67" s="15">
        <f t="shared" si="3"/>
        <v>425</v>
      </c>
      <c r="BO67" s="6"/>
      <c r="BP67" s="6" t="s">
        <v>24</v>
      </c>
      <c r="BQ67" s="6">
        <v>71</v>
      </c>
      <c r="BR67" s="6" t="s">
        <v>24</v>
      </c>
      <c r="BS67" s="6">
        <v>340</v>
      </c>
      <c r="BT67" s="6" t="s">
        <v>25</v>
      </c>
      <c r="BU67" s="6">
        <v>668</v>
      </c>
      <c r="BV67" s="6" t="s">
        <v>26</v>
      </c>
      <c r="BW67" s="6">
        <v>3738</v>
      </c>
      <c r="BX67" s="6">
        <v>-2.29480011326807e-7</v>
      </c>
      <c r="BY67" s="6">
        <v>-3.24853072674499e-7</v>
      </c>
      <c r="BZ67" s="6">
        <v>1.26131132625235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</row>
    <row r="68" spans="1:10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4"/>
      <c r="AM68" s="4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4"/>
      <c r="AZ68" s="4"/>
      <c r="BA68" s="6" t="s">
        <v>24</v>
      </c>
      <c r="BB68" s="6">
        <v>71</v>
      </c>
      <c r="BC68" s="6" t="s">
        <v>24</v>
      </c>
      <c r="BD68" s="6">
        <v>340</v>
      </c>
      <c r="BE68" s="6" t="s">
        <v>25</v>
      </c>
      <c r="BF68" s="6">
        <v>576</v>
      </c>
      <c r="BG68" s="6" t="s">
        <v>26</v>
      </c>
      <c r="BH68" s="6">
        <v>3174</v>
      </c>
      <c r="BI68" s="6">
        <v>-3.23249407389078e-7</v>
      </c>
      <c r="BJ68" s="6">
        <v>-5.02115121690256e-7</v>
      </c>
      <c r="BK68" s="6">
        <v>1.36386532571122</v>
      </c>
      <c r="BL68" s="4"/>
      <c r="BM68" s="4">
        <f t="shared" si="2"/>
        <v>541.08</v>
      </c>
      <c r="BN68" s="15">
        <f t="shared" si="3"/>
        <v>470.08</v>
      </c>
      <c r="BO68" s="6"/>
      <c r="BP68" s="6" t="s">
        <v>24</v>
      </c>
      <c r="BQ68" s="6">
        <v>71</v>
      </c>
      <c r="BR68" s="6" t="s">
        <v>24</v>
      </c>
      <c r="BS68" s="6">
        <v>340</v>
      </c>
      <c r="BT68" s="6" t="s">
        <v>25</v>
      </c>
      <c r="BU68" s="6">
        <v>741</v>
      </c>
      <c r="BV68" s="6" t="s">
        <v>26</v>
      </c>
      <c r="BW68" s="6">
        <v>4164</v>
      </c>
      <c r="BX68" s="6">
        <v>-2.63449152890007e-7</v>
      </c>
      <c r="BY68" s="6">
        <v>-3.31212907381202e-7</v>
      </c>
      <c r="BZ68" s="6">
        <v>1.2486364068771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</row>
    <row r="69" spans="1:10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4"/>
      <c r="AM69" s="4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4"/>
      <c r="AZ69" s="4"/>
      <c r="BA69" s="6" t="s">
        <v>24</v>
      </c>
      <c r="BB69" s="6">
        <v>71</v>
      </c>
      <c r="BC69" s="6" t="s">
        <v>24</v>
      </c>
      <c r="BD69" s="6">
        <v>340</v>
      </c>
      <c r="BE69" s="6" t="s">
        <v>25</v>
      </c>
      <c r="BF69" s="6">
        <v>625</v>
      </c>
      <c r="BG69" s="6" t="s">
        <v>26</v>
      </c>
      <c r="BH69" s="6">
        <v>3456</v>
      </c>
      <c r="BI69" s="6">
        <v>-3.70278873490997e-7</v>
      </c>
      <c r="BJ69" s="6">
        <v>-4.89776843405945e-7</v>
      </c>
      <c r="BK69" s="6">
        <v>1.33495783826248</v>
      </c>
      <c r="BL69" s="4"/>
      <c r="BM69" s="4">
        <f t="shared" si="2"/>
        <v>588.12</v>
      </c>
      <c r="BN69" s="15">
        <f t="shared" si="3"/>
        <v>517.12</v>
      </c>
      <c r="BO69" s="6"/>
      <c r="BP69" s="6" t="s">
        <v>24</v>
      </c>
      <c r="BQ69" s="6">
        <v>71</v>
      </c>
      <c r="BR69" s="6" t="s">
        <v>24</v>
      </c>
      <c r="BS69" s="6">
        <v>340</v>
      </c>
      <c r="BT69" s="6" t="s">
        <v>25</v>
      </c>
      <c r="BU69" s="6">
        <v>797</v>
      </c>
      <c r="BV69" s="6" t="s">
        <v>26</v>
      </c>
      <c r="BW69" s="6">
        <v>4488</v>
      </c>
      <c r="BX69" s="6">
        <v>-3.10991508961343e-7</v>
      </c>
      <c r="BY69" s="6">
        <v>-3.62879078877671e-7</v>
      </c>
      <c r="BZ69" s="6">
        <v>1.25494265208844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</row>
    <row r="70" spans="1:10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4"/>
      <c r="AM70" s="4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4"/>
      <c r="AZ70" s="4"/>
      <c r="BA70" s="6" t="s">
        <v>24</v>
      </c>
      <c r="BB70" s="6">
        <v>71</v>
      </c>
      <c r="BC70" s="6" t="s">
        <v>24</v>
      </c>
      <c r="BD70" s="6">
        <v>340</v>
      </c>
      <c r="BE70" s="6" t="s">
        <v>25</v>
      </c>
      <c r="BF70" s="6">
        <v>676</v>
      </c>
      <c r="BG70" s="6" t="s">
        <v>26</v>
      </c>
      <c r="BH70" s="6">
        <v>3750</v>
      </c>
      <c r="BI70" s="6">
        <v>-3.81259370063206e-7</v>
      </c>
      <c r="BJ70" s="6">
        <v>-4.53343288379996e-7</v>
      </c>
      <c r="BK70" s="6">
        <v>1.3044159314439</v>
      </c>
      <c r="BL70" s="4"/>
      <c r="BM70" s="4">
        <f t="shared" si="2"/>
        <v>637.12</v>
      </c>
      <c r="BN70" s="15">
        <f t="shared" si="3"/>
        <v>566.12</v>
      </c>
      <c r="BO70" s="6"/>
      <c r="BP70" s="6" t="s">
        <v>24</v>
      </c>
      <c r="BQ70" s="6">
        <v>71</v>
      </c>
      <c r="BR70" s="6" t="s">
        <v>24</v>
      </c>
      <c r="BS70" s="6">
        <v>340</v>
      </c>
      <c r="BT70" s="6" t="s">
        <v>25</v>
      </c>
      <c r="BU70" s="6">
        <v>861</v>
      </c>
      <c r="BV70" s="6" t="s">
        <v>26</v>
      </c>
      <c r="BW70" s="6">
        <v>4860</v>
      </c>
      <c r="BX70" s="6">
        <v>-2.3680163610802e-7</v>
      </c>
      <c r="BY70" s="6">
        <v>-2.91967727298298e-7</v>
      </c>
      <c r="BZ70" s="6">
        <v>1.21770019939738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</row>
    <row r="71" spans="1:10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4"/>
      <c r="AM71" s="4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4"/>
      <c r="AZ71" s="4"/>
      <c r="BA71" s="6" t="s">
        <v>24</v>
      </c>
      <c r="BB71" s="6">
        <v>71</v>
      </c>
      <c r="BC71" s="6" t="s">
        <v>24</v>
      </c>
      <c r="BD71" s="6">
        <v>340</v>
      </c>
      <c r="BE71" s="6" t="s">
        <v>25</v>
      </c>
      <c r="BF71" s="6">
        <v>729</v>
      </c>
      <c r="BG71" s="6" t="s">
        <v>26</v>
      </c>
      <c r="BH71" s="6">
        <v>4056</v>
      </c>
      <c r="BI71" s="6">
        <v>-3.66883339124045e-7</v>
      </c>
      <c r="BJ71" s="6">
        <v>-4.16545128088585e-7</v>
      </c>
      <c r="BK71" s="6">
        <v>1.28007588809948</v>
      </c>
      <c r="BL71" s="4"/>
      <c r="BM71" s="4">
        <f t="shared" si="2"/>
        <v>688.08</v>
      </c>
      <c r="BN71" s="15">
        <f t="shared" si="3"/>
        <v>617.08</v>
      </c>
      <c r="BO71" s="6"/>
      <c r="BP71" s="6" t="s">
        <v>24</v>
      </c>
      <c r="BQ71" s="6">
        <v>71</v>
      </c>
      <c r="BR71" s="6" t="s">
        <v>24</v>
      </c>
      <c r="BS71" s="6">
        <v>340</v>
      </c>
      <c r="BT71" s="6" t="s">
        <v>25</v>
      </c>
      <c r="BU71" s="6">
        <v>927</v>
      </c>
      <c r="BV71" s="6" t="s">
        <v>26</v>
      </c>
      <c r="BW71" s="6">
        <v>5244</v>
      </c>
      <c r="BX71" s="6">
        <v>-2.21776998529089e-7</v>
      </c>
      <c r="BY71" s="6">
        <v>-2.82690442037773e-7</v>
      </c>
      <c r="BZ71" s="6">
        <v>1.21707217598155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</row>
    <row r="72" spans="1:10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4"/>
      <c r="AM72" s="4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4"/>
      <c r="AZ72" s="4"/>
      <c r="BA72" s="6" t="s">
        <v>24</v>
      </c>
      <c r="BB72" s="6">
        <v>71</v>
      </c>
      <c r="BC72" s="6" t="s">
        <v>24</v>
      </c>
      <c r="BD72" s="6">
        <v>340</v>
      </c>
      <c r="BE72" s="6" t="s">
        <v>25</v>
      </c>
      <c r="BF72" s="6">
        <v>784</v>
      </c>
      <c r="BG72" s="6" t="s">
        <v>26</v>
      </c>
      <c r="BH72" s="6">
        <v>4374</v>
      </c>
      <c r="BI72" s="6">
        <v>-2.81961211347543e-7</v>
      </c>
      <c r="BJ72" s="6">
        <v>-3.53092246551124e-7</v>
      </c>
      <c r="BK72" s="6">
        <v>1.26129148543561</v>
      </c>
      <c r="BL72" s="4"/>
      <c r="BM72" s="4">
        <f t="shared" si="2"/>
        <v>744.855</v>
      </c>
      <c r="BN72" s="15">
        <f t="shared" si="3"/>
        <v>673.855</v>
      </c>
      <c r="BO72" s="6"/>
      <c r="BP72" s="6" t="s">
        <v>24</v>
      </c>
      <c r="BQ72" s="6">
        <v>71</v>
      </c>
      <c r="BR72" s="6" t="s">
        <v>24</v>
      </c>
      <c r="BS72" s="6">
        <v>340</v>
      </c>
      <c r="BT72" s="6" t="s">
        <v>25</v>
      </c>
      <c r="BU72" s="6">
        <v>977</v>
      </c>
      <c r="BV72" s="6" t="s">
        <v>26</v>
      </c>
      <c r="BW72" s="6">
        <v>5532</v>
      </c>
      <c r="BX72" s="6">
        <v>-2.33371664414369e-7</v>
      </c>
      <c r="BY72" s="6">
        <v>-2.85021019429957e-7</v>
      </c>
      <c r="BZ72" s="6">
        <v>1.21194575255843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</row>
    <row r="73" spans="1:10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4"/>
      <c r="AM73" s="4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4"/>
      <c r="AZ73" s="4"/>
      <c r="BA73" s="6" t="s">
        <v>24</v>
      </c>
      <c r="BB73" s="6">
        <v>71</v>
      </c>
      <c r="BC73" s="6" t="s">
        <v>24</v>
      </c>
      <c r="BD73" s="6">
        <v>340</v>
      </c>
      <c r="BE73" s="6" t="s">
        <v>25</v>
      </c>
      <c r="BF73" s="6">
        <v>841</v>
      </c>
      <c r="BG73" s="6" t="s">
        <v>26</v>
      </c>
      <c r="BH73" s="6">
        <v>4704</v>
      </c>
      <c r="BI73" s="6">
        <v>-2.72942060483941e-7</v>
      </c>
      <c r="BJ73" s="6">
        <v>-3.3881604741779e-7</v>
      </c>
      <c r="BK73" s="6">
        <v>1.25163057804789</v>
      </c>
      <c r="BL73" s="4"/>
      <c r="BM73" s="4">
        <f t="shared" si="2"/>
        <v>799.875</v>
      </c>
      <c r="BN73" s="15">
        <f t="shared" si="3"/>
        <v>728.875</v>
      </c>
      <c r="BO73" s="6"/>
      <c r="BP73" s="6" t="s">
        <v>24</v>
      </c>
      <c r="BQ73" s="6">
        <v>71</v>
      </c>
      <c r="BR73" s="6" t="s">
        <v>24</v>
      </c>
      <c r="BS73" s="6">
        <v>340</v>
      </c>
      <c r="BT73" s="6" t="s">
        <v>25</v>
      </c>
      <c r="BU73" s="6">
        <v>1034</v>
      </c>
      <c r="BV73" s="6" t="s">
        <v>26</v>
      </c>
      <c r="BW73" s="6">
        <v>5862</v>
      </c>
      <c r="BX73" s="6">
        <v>-2.13829213785291e-7</v>
      </c>
      <c r="BY73" s="6">
        <v>-2.67421049080617e-7</v>
      </c>
      <c r="BZ73" s="6">
        <v>1.20242383577539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</row>
    <row r="74" ht="23.25" spans="1:10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4"/>
      <c r="AM74" s="4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4"/>
      <c r="AZ74" s="4"/>
      <c r="BA74" s="6" t="s">
        <v>24</v>
      </c>
      <c r="BB74" s="6">
        <v>71</v>
      </c>
      <c r="BC74" s="6" t="s">
        <v>24</v>
      </c>
      <c r="BD74" s="6">
        <v>340</v>
      </c>
      <c r="BE74" s="6" t="s">
        <v>25</v>
      </c>
      <c r="BF74" s="6">
        <v>900</v>
      </c>
      <c r="BG74" s="6" t="s">
        <v>26</v>
      </c>
      <c r="BH74" s="6">
        <v>5046</v>
      </c>
      <c r="BI74" s="6">
        <v>-2.50003884937815e-7</v>
      </c>
      <c r="BJ74" s="6">
        <v>-3.13403399861461e-7</v>
      </c>
      <c r="BK74" s="6">
        <v>1.23759459617104</v>
      </c>
      <c r="BL74" s="4"/>
      <c r="BM74" s="4">
        <f t="shared" si="2"/>
        <v>856.855</v>
      </c>
      <c r="BN74" s="15">
        <f t="shared" si="3"/>
        <v>785.855</v>
      </c>
      <c r="BO74" s="6"/>
      <c r="BP74" s="6" t="s">
        <v>24</v>
      </c>
      <c r="BQ74" s="6">
        <v>71</v>
      </c>
      <c r="BR74" s="6" t="s">
        <v>24</v>
      </c>
      <c r="BS74" s="6">
        <v>340</v>
      </c>
      <c r="BT74" s="6" t="s">
        <v>25</v>
      </c>
      <c r="BU74" s="6">
        <v>1085</v>
      </c>
      <c r="BV74" s="6" t="s">
        <v>26</v>
      </c>
      <c r="BW74" s="6">
        <v>6156</v>
      </c>
      <c r="BX74" s="6">
        <v>-2.27814099842614e-7</v>
      </c>
      <c r="BY74" s="6">
        <v>-2.76906590644888e-7</v>
      </c>
      <c r="BZ74" s="6">
        <v>1.20551706315219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</row>
    <row r="75" ht="23.25" spans="1:10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4"/>
      <c r="AM75" s="4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4"/>
      <c r="AZ75" s="4"/>
      <c r="BA75" s="6" t="s">
        <v>24</v>
      </c>
      <c r="BB75" s="6">
        <v>71</v>
      </c>
      <c r="BC75" s="6" t="s">
        <v>24</v>
      </c>
      <c r="BD75" s="6">
        <v>340</v>
      </c>
      <c r="BE75" s="6" t="s">
        <v>25</v>
      </c>
      <c r="BF75" s="6">
        <v>961</v>
      </c>
      <c r="BG75" s="6" t="s">
        <v>26</v>
      </c>
      <c r="BH75" s="6">
        <v>5400</v>
      </c>
      <c r="BI75" s="6">
        <v>-2.40241901065831e-7</v>
      </c>
      <c r="BJ75" s="6">
        <v>-3.00997254438446e-7</v>
      </c>
      <c r="BK75" s="6">
        <v>1.22774874132137</v>
      </c>
      <c r="BL75" s="4"/>
      <c r="BM75" s="4">
        <f t="shared" si="2"/>
        <v>915.795</v>
      </c>
      <c r="BN75" s="15">
        <f t="shared" si="3"/>
        <v>844.795</v>
      </c>
      <c r="BO75" s="6"/>
      <c r="BP75" s="6" t="s">
        <v>24</v>
      </c>
      <c r="BQ75" s="6">
        <v>71</v>
      </c>
      <c r="BR75" s="6" t="s">
        <v>24</v>
      </c>
      <c r="BS75" s="6">
        <v>340</v>
      </c>
      <c r="BT75" s="6" t="s">
        <v>25</v>
      </c>
      <c r="BU75" s="6">
        <v>1177</v>
      </c>
      <c r="BV75" s="6" t="s">
        <v>26</v>
      </c>
      <c r="BW75" s="6">
        <v>6696</v>
      </c>
      <c r="BX75" s="6">
        <v>-2.09296060713345e-7</v>
      </c>
      <c r="BY75" s="6">
        <v>-2.58088263408456e-7</v>
      </c>
      <c r="BZ75" s="6">
        <v>1.19314176784216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</row>
    <row r="76" ht="23.25" spans="1:10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4"/>
      <c r="AZ76" s="4"/>
      <c r="BA76" s="6" t="s">
        <v>24</v>
      </c>
      <c r="BB76" s="6">
        <v>71</v>
      </c>
      <c r="BC76" s="6" t="s">
        <v>24</v>
      </c>
      <c r="BD76" s="6">
        <v>340</v>
      </c>
      <c r="BE76" s="6" t="s">
        <v>25</v>
      </c>
      <c r="BF76" s="6">
        <v>1024</v>
      </c>
      <c r="BG76" s="6" t="s">
        <v>26</v>
      </c>
      <c r="BH76" s="6">
        <v>5766</v>
      </c>
      <c r="BI76" s="6">
        <v>-2.28907611216665e-7</v>
      </c>
      <c r="BJ76" s="6">
        <v>-2.84082872887659e-7</v>
      </c>
      <c r="BK76" s="6">
        <v>1.21421038682755</v>
      </c>
      <c r="BL76" s="4"/>
      <c r="BM76" s="4">
        <f t="shared" si="2"/>
        <v>976.695</v>
      </c>
      <c r="BN76" s="15">
        <f t="shared" si="3"/>
        <v>905.695</v>
      </c>
      <c r="BO76" s="6"/>
      <c r="BP76" s="6" t="s">
        <v>24</v>
      </c>
      <c r="BQ76" s="6">
        <v>71</v>
      </c>
      <c r="BR76" s="6" t="s">
        <v>24</v>
      </c>
      <c r="BS76" s="6">
        <v>340</v>
      </c>
      <c r="BT76" s="6" t="s">
        <v>25</v>
      </c>
      <c r="BU76" s="6">
        <v>1243</v>
      </c>
      <c r="BV76" s="6" t="s">
        <v>26</v>
      </c>
      <c r="BW76" s="6">
        <v>7080</v>
      </c>
      <c r="BX76" s="6">
        <v>-1.96874106565376e-7</v>
      </c>
      <c r="BY76" s="6">
        <v>-2.49914807740508e-7</v>
      </c>
      <c r="BZ76" s="6">
        <v>1.19075855946995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</row>
    <row r="77" ht="23.25" spans="1:10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4"/>
      <c r="AM77" s="4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4"/>
      <c r="AZ77" s="4"/>
      <c r="BA77" s="6" t="s">
        <v>24</v>
      </c>
      <c r="BB77" s="6">
        <v>71</v>
      </c>
      <c r="BC77" s="6" t="s">
        <v>24</v>
      </c>
      <c r="BD77" s="6">
        <v>340</v>
      </c>
      <c r="BE77" s="6" t="s">
        <v>25</v>
      </c>
      <c r="BF77" s="6">
        <v>1089</v>
      </c>
      <c r="BG77" s="6" t="s">
        <v>26</v>
      </c>
      <c r="BH77" s="6">
        <v>6144</v>
      </c>
      <c r="BI77" s="6">
        <v>-2.34571229894337e-7</v>
      </c>
      <c r="BJ77" s="6">
        <v>-2.85020944212366e-7</v>
      </c>
      <c r="BK77" s="6">
        <v>1.21126521700334</v>
      </c>
      <c r="BL77" s="4"/>
      <c r="BM77" s="4">
        <f t="shared" si="2"/>
        <v>1039.555</v>
      </c>
      <c r="BN77" s="15">
        <f t="shared" si="3"/>
        <v>968.555</v>
      </c>
      <c r="BO77" s="6"/>
      <c r="BP77" s="6" t="s">
        <v>24</v>
      </c>
      <c r="BQ77" s="6">
        <v>71</v>
      </c>
      <c r="BR77" s="6" t="s">
        <v>24</v>
      </c>
      <c r="BS77" s="6">
        <v>340</v>
      </c>
      <c r="BT77" s="6" t="s">
        <v>25</v>
      </c>
      <c r="BU77" s="6">
        <v>1325</v>
      </c>
      <c r="BV77" s="6" t="s">
        <v>26</v>
      </c>
      <c r="BW77" s="6">
        <v>7560</v>
      </c>
      <c r="BX77" s="6">
        <v>-2.05873464947269e-7</v>
      </c>
      <c r="BY77" s="6">
        <v>-2.53980723668781e-7</v>
      </c>
      <c r="BZ77" s="6">
        <v>1.18996894439241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</row>
    <row r="78" ht="23.25" spans="1:10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10" t="s">
        <v>28</v>
      </c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4"/>
      <c r="BM78" s="4"/>
      <c r="BN78" s="15"/>
      <c r="BO78" s="3"/>
      <c r="BP78" s="10" t="s">
        <v>28</v>
      </c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</row>
    <row r="79" ht="23.25" spans="1:10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4"/>
      <c r="AM79" s="4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4"/>
      <c r="AZ79" s="4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4"/>
      <c r="BM79" s="4"/>
      <c r="BN79" s="15"/>
      <c r="BO79" s="3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</row>
    <row r="80" spans="1:10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4"/>
      <c r="AM80" s="4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4"/>
      <c r="AZ80" s="4"/>
      <c r="BA80" s="6" t="s">
        <v>12</v>
      </c>
      <c r="BB80" s="6" t="s">
        <v>13</v>
      </c>
      <c r="BC80" s="6" t="s">
        <v>14</v>
      </c>
      <c r="BD80" s="6" t="s">
        <v>15</v>
      </c>
      <c r="BE80" s="6" t="s">
        <v>16</v>
      </c>
      <c r="BF80" s="6" t="s">
        <v>17</v>
      </c>
      <c r="BG80" s="6" t="s">
        <v>18</v>
      </c>
      <c r="BH80" s="6" t="s">
        <v>19</v>
      </c>
      <c r="BI80" s="6" t="s">
        <v>20</v>
      </c>
      <c r="BJ80" s="6" t="s">
        <v>21</v>
      </c>
      <c r="BK80" s="6" t="s">
        <v>22</v>
      </c>
      <c r="BL80" s="4"/>
      <c r="BM80" s="4"/>
      <c r="BN80" s="15"/>
      <c r="BO80" s="4"/>
      <c r="BP80" s="6" t="s">
        <v>12</v>
      </c>
      <c r="BQ80" s="6" t="s">
        <v>13</v>
      </c>
      <c r="BR80" s="6" t="s">
        <v>14</v>
      </c>
      <c r="BS80" s="6" t="s">
        <v>15</v>
      </c>
      <c r="BT80" s="6" t="s">
        <v>16</v>
      </c>
      <c r="BU80" s="6" t="s">
        <v>17</v>
      </c>
      <c r="BV80" s="6" t="s">
        <v>18</v>
      </c>
      <c r="BW80" s="6" t="s">
        <v>19</v>
      </c>
      <c r="BX80" s="6" t="s">
        <v>20</v>
      </c>
      <c r="BY80" s="6" t="s">
        <v>21</v>
      </c>
      <c r="BZ80" s="6" t="s">
        <v>22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</row>
    <row r="81" ht="23.25" spans="1:10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4"/>
      <c r="Z81" s="4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4"/>
      <c r="AM81" s="4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4"/>
      <c r="AZ81" s="4"/>
      <c r="BA81" s="6" t="s">
        <v>24</v>
      </c>
      <c r="BB81" s="6">
        <v>97</v>
      </c>
      <c r="BC81" s="6" t="s">
        <v>24</v>
      </c>
      <c r="BD81" s="6">
        <v>340</v>
      </c>
      <c r="BE81" s="6" t="s">
        <v>25</v>
      </c>
      <c r="BF81" s="6">
        <v>81</v>
      </c>
      <c r="BG81" s="6" t="s">
        <v>26</v>
      </c>
      <c r="BH81" s="6">
        <v>384</v>
      </c>
      <c r="BI81" s="6">
        <v>-0.0568222953709109</v>
      </c>
      <c r="BJ81" s="6">
        <v>0.44304717399683</v>
      </c>
      <c r="BK81" s="6">
        <v>-0.14298293548911</v>
      </c>
      <c r="BL81" s="4"/>
      <c r="BM81" s="4">
        <f t="shared" ref="BM78:BM141" si="4">(FLOOR(((SQRT(1+8*BF81)-3))/2,0.1)*(FLOOR(((SQRT(1+8*BF81)-3))/2,0.1)+1))/2</f>
        <v>68.32</v>
      </c>
      <c r="BN81" s="15">
        <f t="shared" si="3"/>
        <v>28.68</v>
      </c>
      <c r="BO81" s="6"/>
      <c r="BP81" s="6" t="s">
        <v>24</v>
      </c>
      <c r="BQ81" s="6">
        <v>97</v>
      </c>
      <c r="BR81" s="6" t="s">
        <v>24</v>
      </c>
      <c r="BS81" s="6">
        <v>340</v>
      </c>
      <c r="BT81" s="6" t="s">
        <v>25</v>
      </c>
      <c r="BU81" s="6">
        <v>97</v>
      </c>
      <c r="BV81" s="6" t="s">
        <v>26</v>
      </c>
      <c r="BW81" s="6">
        <v>480</v>
      </c>
      <c r="BX81" s="6">
        <v>-1.5631297276127</v>
      </c>
      <c r="BY81" s="6">
        <v>-1.31904220069299</v>
      </c>
      <c r="BZ81" s="6">
        <v>-0.70471362711728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</row>
    <row r="82" ht="23.25" spans="1:10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4"/>
      <c r="Z82" s="4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4"/>
      <c r="AM82" s="4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4"/>
      <c r="AZ82" s="4"/>
      <c r="BA82" s="6" t="s">
        <v>24</v>
      </c>
      <c r="BB82" s="6">
        <v>97</v>
      </c>
      <c r="BC82" s="6" t="s">
        <v>24</v>
      </c>
      <c r="BD82" s="6">
        <v>340</v>
      </c>
      <c r="BE82" s="6" t="s">
        <v>25</v>
      </c>
      <c r="BF82" s="6">
        <v>100</v>
      </c>
      <c r="BG82" s="6" t="s">
        <v>26</v>
      </c>
      <c r="BH82" s="6">
        <v>486</v>
      </c>
      <c r="BI82" s="6">
        <v>-1.46390002064703</v>
      </c>
      <c r="BJ82" s="6">
        <v>-1.16079184048589</v>
      </c>
      <c r="BK82" s="6">
        <v>-0.556644307061955</v>
      </c>
      <c r="BL82" s="4"/>
      <c r="BM82" s="4">
        <f t="shared" si="4"/>
        <v>85.68</v>
      </c>
      <c r="BN82" s="15">
        <f t="shared" si="3"/>
        <v>11.32</v>
      </c>
      <c r="BO82" s="6"/>
      <c r="BP82" s="6" t="s">
        <v>24</v>
      </c>
      <c r="BQ82" s="6">
        <v>97</v>
      </c>
      <c r="BR82" s="6" t="s">
        <v>24</v>
      </c>
      <c r="BS82" s="6">
        <v>340</v>
      </c>
      <c r="BT82" s="6" t="s">
        <v>25</v>
      </c>
      <c r="BU82" s="6">
        <v>122</v>
      </c>
      <c r="BV82" s="6" t="s">
        <v>26</v>
      </c>
      <c r="BW82" s="6">
        <v>618</v>
      </c>
      <c r="BX82" s="6">
        <v>-1.70189075692919</v>
      </c>
      <c r="BY82" s="6">
        <v>-1.354863675601</v>
      </c>
      <c r="BZ82" s="6">
        <v>-0.484171544225982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</row>
    <row r="83" spans="1:10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4"/>
      <c r="AM83" s="4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4"/>
      <c r="AZ83" s="4"/>
      <c r="BA83" s="11" t="s">
        <v>24</v>
      </c>
      <c r="BB83" s="11">
        <v>97</v>
      </c>
      <c r="BC83" s="11" t="s">
        <v>24</v>
      </c>
      <c r="BD83" s="11">
        <v>340</v>
      </c>
      <c r="BE83" s="11" t="s">
        <v>25</v>
      </c>
      <c r="BF83" s="11">
        <v>121</v>
      </c>
      <c r="BG83" s="11" t="s">
        <v>26</v>
      </c>
      <c r="BH83" s="11">
        <v>600</v>
      </c>
      <c r="BI83" s="11">
        <v>-1.60564148661216</v>
      </c>
      <c r="BJ83" s="11">
        <v>-1.42309404295575</v>
      </c>
      <c r="BK83" s="11">
        <v>-0.511061733901969</v>
      </c>
      <c r="BL83" s="12"/>
      <c r="BM83" s="12">
        <f t="shared" si="4"/>
        <v>105</v>
      </c>
      <c r="BN83" s="15">
        <f t="shared" si="3"/>
        <v>8</v>
      </c>
      <c r="BO83" s="6"/>
      <c r="BP83" s="6" t="s">
        <v>24</v>
      </c>
      <c r="BQ83" s="6">
        <v>97</v>
      </c>
      <c r="BR83" s="6" t="s">
        <v>24</v>
      </c>
      <c r="BS83" s="6">
        <v>340</v>
      </c>
      <c r="BT83" s="6" t="s">
        <v>25</v>
      </c>
      <c r="BU83" s="6">
        <v>165</v>
      </c>
      <c r="BV83" s="6" t="s">
        <v>26</v>
      </c>
      <c r="BW83" s="6">
        <v>864</v>
      </c>
      <c r="BX83" s="6">
        <v>-1.05412702370941</v>
      </c>
      <c r="BY83" s="6">
        <v>-0.920477368465199</v>
      </c>
      <c r="BZ83" s="6">
        <v>0.0299866908512312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</row>
    <row r="84" spans="1:10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4"/>
      <c r="AM84" s="4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4"/>
      <c r="AZ84" s="4"/>
      <c r="BA84" s="6" t="s">
        <v>24</v>
      </c>
      <c r="BB84" s="6">
        <v>97</v>
      </c>
      <c r="BC84" s="6" t="s">
        <v>24</v>
      </c>
      <c r="BD84" s="6">
        <v>340</v>
      </c>
      <c r="BE84" s="6" t="s">
        <v>25</v>
      </c>
      <c r="BF84" s="6">
        <v>144</v>
      </c>
      <c r="BG84" s="6" t="s">
        <v>26</v>
      </c>
      <c r="BH84" s="6">
        <v>726</v>
      </c>
      <c r="BI84" s="6">
        <v>-1.41267748155596</v>
      </c>
      <c r="BJ84" s="6">
        <v>-1.13670717186829</v>
      </c>
      <c r="BK84" s="6">
        <v>-0.122430087006803</v>
      </c>
      <c r="BL84" s="4"/>
      <c r="BM84" s="4">
        <f t="shared" si="4"/>
        <v>126.28</v>
      </c>
      <c r="BN84" s="15">
        <f t="shared" si="3"/>
        <v>29.28</v>
      </c>
      <c r="BO84" s="6"/>
      <c r="BP84" s="6" t="s">
        <v>24</v>
      </c>
      <c r="BQ84" s="6">
        <v>97</v>
      </c>
      <c r="BR84" s="6" t="s">
        <v>24</v>
      </c>
      <c r="BS84" s="6">
        <v>340</v>
      </c>
      <c r="BT84" s="6" t="s">
        <v>25</v>
      </c>
      <c r="BU84" s="6">
        <v>174</v>
      </c>
      <c r="BV84" s="6" t="s">
        <v>26</v>
      </c>
      <c r="BW84" s="6">
        <v>906</v>
      </c>
      <c r="BX84" s="6">
        <v>-1.03847978257072</v>
      </c>
      <c r="BY84" s="6">
        <v>-0.916254324660097</v>
      </c>
      <c r="BZ84" s="6">
        <v>0.0641119533680038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</row>
    <row r="85" spans="1:10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4"/>
      <c r="AM85" s="4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4"/>
      <c r="AZ85" s="4"/>
      <c r="BA85" s="6" t="s">
        <v>24</v>
      </c>
      <c r="BB85" s="6">
        <v>97</v>
      </c>
      <c r="BC85" s="6" t="s">
        <v>24</v>
      </c>
      <c r="BD85" s="6">
        <v>340</v>
      </c>
      <c r="BE85" s="6" t="s">
        <v>25</v>
      </c>
      <c r="BF85" s="6">
        <v>169</v>
      </c>
      <c r="BG85" s="6" t="s">
        <v>26</v>
      </c>
      <c r="BH85" s="6">
        <v>864</v>
      </c>
      <c r="BI85" s="6">
        <v>-1.35320824305102</v>
      </c>
      <c r="BJ85" s="6">
        <v>-1.13498806721011</v>
      </c>
      <c r="BK85" s="6">
        <v>-0.0775193542988167</v>
      </c>
      <c r="BL85" s="4"/>
      <c r="BM85" s="4">
        <f t="shared" si="4"/>
        <v>149.52</v>
      </c>
      <c r="BN85" s="15">
        <f t="shared" si="3"/>
        <v>52.52</v>
      </c>
      <c r="BO85" s="6"/>
      <c r="BP85" s="6" t="s">
        <v>24</v>
      </c>
      <c r="BQ85" s="6">
        <v>97</v>
      </c>
      <c r="BR85" s="6" t="s">
        <v>24</v>
      </c>
      <c r="BS85" s="6">
        <v>340</v>
      </c>
      <c r="BT85" s="6" t="s">
        <v>25</v>
      </c>
      <c r="BU85" s="6">
        <v>209</v>
      </c>
      <c r="BV85" s="6" t="s">
        <v>26</v>
      </c>
      <c r="BW85" s="6">
        <v>1104</v>
      </c>
      <c r="BX85" s="6">
        <v>-0.88012241280795</v>
      </c>
      <c r="BY85" s="6">
        <v>-0.796368976975187</v>
      </c>
      <c r="BZ85" s="6">
        <v>0.155359396694661</v>
      </c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</row>
    <row r="86" spans="1:10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4"/>
      <c r="AM86" s="4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4"/>
      <c r="AZ86" s="4"/>
      <c r="BA86" s="6" t="s">
        <v>24</v>
      </c>
      <c r="BB86" s="6">
        <v>97</v>
      </c>
      <c r="BC86" s="6" t="s">
        <v>24</v>
      </c>
      <c r="BD86" s="6">
        <v>340</v>
      </c>
      <c r="BE86" s="6" t="s">
        <v>25</v>
      </c>
      <c r="BF86" s="6">
        <v>196</v>
      </c>
      <c r="BG86" s="6" t="s">
        <v>26</v>
      </c>
      <c r="BH86" s="6">
        <v>1014</v>
      </c>
      <c r="BI86" s="6">
        <v>-0.920921345022284</v>
      </c>
      <c r="BJ86" s="6">
        <v>-0.825641957741942</v>
      </c>
      <c r="BK86" s="6">
        <v>0.179906199360857</v>
      </c>
      <c r="BL86" s="4"/>
      <c r="BM86" s="4">
        <f t="shared" si="4"/>
        <v>176.595</v>
      </c>
      <c r="BN86" s="15">
        <f t="shared" si="3"/>
        <v>79.595</v>
      </c>
      <c r="BO86" s="6"/>
      <c r="BP86" s="6" t="s">
        <v>24</v>
      </c>
      <c r="BQ86" s="6">
        <v>97</v>
      </c>
      <c r="BR86" s="6" t="s">
        <v>24</v>
      </c>
      <c r="BS86" s="6">
        <v>340</v>
      </c>
      <c r="BT86" s="6" t="s">
        <v>25</v>
      </c>
      <c r="BU86" s="6">
        <v>238</v>
      </c>
      <c r="BV86" s="6" t="s">
        <v>26</v>
      </c>
      <c r="BW86" s="6">
        <v>1266</v>
      </c>
      <c r="BX86" s="6">
        <v>-0.735447802611358</v>
      </c>
      <c r="BY86" s="6">
        <v>-0.682608168440495</v>
      </c>
      <c r="BZ86" s="6">
        <v>0.315579047525667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</row>
    <row r="87" spans="1:10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4"/>
      <c r="AM87" s="4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4"/>
      <c r="AZ87" s="4"/>
      <c r="BA87" s="6" t="s">
        <v>24</v>
      </c>
      <c r="BB87" s="6">
        <v>97</v>
      </c>
      <c r="BC87" s="6" t="s">
        <v>24</v>
      </c>
      <c r="BD87" s="6">
        <v>340</v>
      </c>
      <c r="BE87" s="6" t="s">
        <v>25</v>
      </c>
      <c r="BF87" s="6">
        <v>225</v>
      </c>
      <c r="BG87" s="6" t="s">
        <v>26</v>
      </c>
      <c r="BH87" s="6">
        <v>1176</v>
      </c>
      <c r="BI87" s="6">
        <v>-0.980156546538119</v>
      </c>
      <c r="BJ87" s="6">
        <v>-0.878220633294979</v>
      </c>
      <c r="BK87" s="6">
        <v>0.168127465659724</v>
      </c>
      <c r="BL87" s="4"/>
      <c r="BM87" s="4">
        <f t="shared" si="4"/>
        <v>203.895</v>
      </c>
      <c r="BN87" s="15">
        <f t="shared" si="3"/>
        <v>106.895</v>
      </c>
      <c r="BO87" s="6"/>
      <c r="BP87" s="6" t="s">
        <v>24</v>
      </c>
      <c r="BQ87" s="6">
        <v>97</v>
      </c>
      <c r="BR87" s="6" t="s">
        <v>24</v>
      </c>
      <c r="BS87" s="6">
        <v>340</v>
      </c>
      <c r="BT87" s="6" t="s">
        <v>25</v>
      </c>
      <c r="BU87" s="6">
        <v>256</v>
      </c>
      <c r="BV87" s="6" t="s">
        <v>26</v>
      </c>
      <c r="BW87" s="6">
        <v>1362</v>
      </c>
      <c r="BX87" s="6">
        <v>-0.75843751229221</v>
      </c>
      <c r="BY87" s="6">
        <v>-0.722884371294892</v>
      </c>
      <c r="BZ87" s="6">
        <v>0.296830211188462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</row>
    <row r="88" spans="1:10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4"/>
      <c r="AM88" s="4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4"/>
      <c r="AZ88" s="4"/>
      <c r="BA88" s="6" t="s">
        <v>24</v>
      </c>
      <c r="BB88" s="6">
        <v>97</v>
      </c>
      <c r="BC88" s="6" t="s">
        <v>24</v>
      </c>
      <c r="BD88" s="6">
        <v>340</v>
      </c>
      <c r="BE88" s="6" t="s">
        <v>25</v>
      </c>
      <c r="BF88" s="6">
        <v>256</v>
      </c>
      <c r="BG88" s="6" t="s">
        <v>26</v>
      </c>
      <c r="BH88" s="6">
        <v>1350</v>
      </c>
      <c r="BI88" s="6">
        <v>-0.620646708422954</v>
      </c>
      <c r="BJ88" s="6">
        <v>-0.591559203328662</v>
      </c>
      <c r="BK88" s="6">
        <v>0.437013905974273</v>
      </c>
      <c r="BL88" s="4"/>
      <c r="BM88" s="4">
        <f t="shared" si="4"/>
        <v>233.155</v>
      </c>
      <c r="BN88" s="15">
        <f t="shared" si="3"/>
        <v>136.155</v>
      </c>
      <c r="BO88" s="6"/>
      <c r="BP88" s="6" t="s">
        <v>24</v>
      </c>
      <c r="BQ88" s="6">
        <v>97</v>
      </c>
      <c r="BR88" s="6" t="s">
        <v>24</v>
      </c>
      <c r="BS88" s="6">
        <v>340</v>
      </c>
      <c r="BT88" s="6" t="s">
        <v>25</v>
      </c>
      <c r="BU88" s="6">
        <v>297</v>
      </c>
      <c r="BV88" s="6" t="s">
        <v>26</v>
      </c>
      <c r="BW88" s="6">
        <v>1596</v>
      </c>
      <c r="BX88" s="6">
        <v>-0.43527224180652</v>
      </c>
      <c r="BY88" s="6">
        <v>-0.439040597720166</v>
      </c>
      <c r="BZ88" s="6">
        <v>0.563349661757694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</row>
    <row r="89" spans="1:10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4"/>
      <c r="AM89" s="4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4"/>
      <c r="AZ89" s="4"/>
      <c r="BA89" s="6" t="s">
        <v>24</v>
      </c>
      <c r="BB89" s="6">
        <v>97</v>
      </c>
      <c r="BC89" s="6" t="s">
        <v>24</v>
      </c>
      <c r="BD89" s="6">
        <v>340</v>
      </c>
      <c r="BE89" s="6" t="s">
        <v>25</v>
      </c>
      <c r="BF89" s="6">
        <v>289</v>
      </c>
      <c r="BG89" s="6" t="s">
        <v>26</v>
      </c>
      <c r="BH89" s="6">
        <v>1536</v>
      </c>
      <c r="BI89" s="6">
        <v>-0.669727371082738</v>
      </c>
      <c r="BJ89" s="6">
        <v>-0.629039590483159</v>
      </c>
      <c r="BK89" s="6">
        <v>0.475984351802065</v>
      </c>
      <c r="BL89" s="4"/>
      <c r="BM89" s="4">
        <f t="shared" si="4"/>
        <v>264.375</v>
      </c>
      <c r="BN89" s="15">
        <f t="shared" si="3"/>
        <v>167.375</v>
      </c>
      <c r="BO89" s="6"/>
      <c r="BP89" s="6" t="s">
        <v>24</v>
      </c>
      <c r="BQ89" s="6">
        <v>97</v>
      </c>
      <c r="BR89" s="6" t="s">
        <v>24</v>
      </c>
      <c r="BS89" s="6">
        <v>340</v>
      </c>
      <c r="BT89" s="6" t="s">
        <v>25</v>
      </c>
      <c r="BU89" s="6">
        <v>340</v>
      </c>
      <c r="BV89" s="6" t="s">
        <v>26</v>
      </c>
      <c r="BW89" s="6">
        <v>1842</v>
      </c>
      <c r="BX89" s="6">
        <v>-0.567002841365641</v>
      </c>
      <c r="BY89" s="6">
        <v>-0.555053295952253</v>
      </c>
      <c r="BZ89" s="6">
        <v>0.331631953855795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</row>
    <row r="90" spans="1:10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4"/>
      <c r="AM90" s="4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4"/>
      <c r="AZ90" s="4"/>
      <c r="BA90" s="6" t="s">
        <v>24</v>
      </c>
      <c r="BB90" s="6">
        <v>97</v>
      </c>
      <c r="BC90" s="6" t="s">
        <v>24</v>
      </c>
      <c r="BD90" s="6">
        <v>340</v>
      </c>
      <c r="BE90" s="6" t="s">
        <v>25</v>
      </c>
      <c r="BF90" s="6">
        <v>324</v>
      </c>
      <c r="BG90" s="6" t="s">
        <v>26</v>
      </c>
      <c r="BH90" s="6">
        <v>1734</v>
      </c>
      <c r="BI90" s="6">
        <v>-0.337227499592861</v>
      </c>
      <c r="BJ90" s="6">
        <v>-0.312269424778114</v>
      </c>
      <c r="BK90" s="6">
        <v>1.13149563082426</v>
      </c>
      <c r="BL90" s="4"/>
      <c r="BM90" s="4">
        <f t="shared" si="4"/>
        <v>297.555</v>
      </c>
      <c r="BN90" s="15">
        <f t="shared" si="3"/>
        <v>200.555</v>
      </c>
      <c r="BO90" s="6"/>
      <c r="BP90" s="6" t="s">
        <v>24</v>
      </c>
      <c r="BQ90" s="6">
        <v>97</v>
      </c>
      <c r="BR90" s="6" t="s">
        <v>24</v>
      </c>
      <c r="BS90" s="6">
        <v>340</v>
      </c>
      <c r="BT90" s="6" t="s">
        <v>25</v>
      </c>
      <c r="BU90" s="6">
        <v>380</v>
      </c>
      <c r="BV90" s="6" t="s">
        <v>26</v>
      </c>
      <c r="BW90" s="6">
        <v>2070</v>
      </c>
      <c r="BX90" s="6">
        <v>-0.00662677855518889</v>
      </c>
      <c r="BY90" s="6">
        <v>-0.00781097275201447</v>
      </c>
      <c r="BZ90" s="6">
        <v>2.10227898066027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</row>
    <row r="91" spans="1:10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4"/>
      <c r="AM91" s="4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4"/>
      <c r="AZ91" s="4"/>
      <c r="BA91" s="6" t="s">
        <v>24</v>
      </c>
      <c r="BB91" s="6">
        <v>97</v>
      </c>
      <c r="BC91" s="6" t="s">
        <v>24</v>
      </c>
      <c r="BD91" s="6">
        <v>340</v>
      </c>
      <c r="BE91" s="6" t="s">
        <v>25</v>
      </c>
      <c r="BF91" s="6">
        <v>361</v>
      </c>
      <c r="BG91" s="6" t="s">
        <v>26</v>
      </c>
      <c r="BH91" s="6">
        <v>1944</v>
      </c>
      <c r="BI91" s="6">
        <v>-0.0541376091019056</v>
      </c>
      <c r="BJ91" s="6">
        <v>-0.0522020394267416</v>
      </c>
      <c r="BK91" s="6">
        <v>1.98191840254399</v>
      </c>
      <c r="BL91" s="4"/>
      <c r="BM91" s="4">
        <f t="shared" si="4"/>
        <v>332.695</v>
      </c>
      <c r="BN91" s="15">
        <f t="shared" si="3"/>
        <v>235.695</v>
      </c>
      <c r="BO91" s="6"/>
      <c r="BP91" s="6" t="s">
        <v>24</v>
      </c>
      <c r="BQ91" s="6">
        <v>97</v>
      </c>
      <c r="BR91" s="6" t="s">
        <v>24</v>
      </c>
      <c r="BS91" s="6">
        <v>340</v>
      </c>
      <c r="BT91" s="6" t="s">
        <v>25</v>
      </c>
      <c r="BU91" s="6">
        <v>435</v>
      </c>
      <c r="BV91" s="6" t="s">
        <v>26</v>
      </c>
      <c r="BW91" s="6">
        <v>2388</v>
      </c>
      <c r="BX91" s="6">
        <v>-2.97604513003211e-6</v>
      </c>
      <c r="BY91" s="6">
        <v>-2.92635379468901e-6</v>
      </c>
      <c r="BZ91" s="6">
        <v>1.68503755821993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</row>
    <row r="92" spans="1:10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4"/>
      <c r="AM92" s="4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4"/>
      <c r="AZ92" s="4"/>
      <c r="BA92" s="6" t="s">
        <v>24</v>
      </c>
      <c r="BB92" s="6">
        <v>97</v>
      </c>
      <c r="BC92" s="6" t="s">
        <v>24</v>
      </c>
      <c r="BD92" s="6">
        <v>340</v>
      </c>
      <c r="BE92" s="6" t="s">
        <v>25</v>
      </c>
      <c r="BF92" s="6">
        <v>400</v>
      </c>
      <c r="BG92" s="6" t="s">
        <v>26</v>
      </c>
      <c r="BH92" s="6">
        <v>2166</v>
      </c>
      <c r="BI92" s="6">
        <v>2.67360763716471e-6</v>
      </c>
      <c r="BJ92" s="6">
        <v>-2.63079407531813e-6</v>
      </c>
      <c r="BK92" s="6">
        <v>1.91657904610443</v>
      </c>
      <c r="BL92" s="4"/>
      <c r="BM92" s="4">
        <f t="shared" si="4"/>
        <v>369.795</v>
      </c>
      <c r="BN92" s="15">
        <f t="shared" si="3"/>
        <v>272.795</v>
      </c>
      <c r="BO92" s="6"/>
      <c r="BP92" s="6" t="s">
        <v>24</v>
      </c>
      <c r="BQ92" s="6">
        <v>97</v>
      </c>
      <c r="BR92" s="6" t="s">
        <v>24</v>
      </c>
      <c r="BS92" s="6">
        <v>340</v>
      </c>
      <c r="BT92" s="6" t="s">
        <v>25</v>
      </c>
      <c r="BU92" s="6">
        <v>485</v>
      </c>
      <c r="BV92" s="6" t="s">
        <v>26</v>
      </c>
      <c r="BW92" s="6">
        <v>2676</v>
      </c>
      <c r="BX92" s="6">
        <v>-7.49639796307415e-7</v>
      </c>
      <c r="BY92" s="6">
        <v>-8.98303647927219e-7</v>
      </c>
      <c r="BZ92" s="6">
        <v>1.46360588907147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</row>
    <row r="93" spans="1:10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4"/>
      <c r="AM93" s="4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4"/>
      <c r="AZ93" s="4"/>
      <c r="BA93" s="6" t="s">
        <v>24</v>
      </c>
      <c r="BB93" s="6">
        <v>97</v>
      </c>
      <c r="BC93" s="6" t="s">
        <v>24</v>
      </c>
      <c r="BD93" s="6">
        <v>340</v>
      </c>
      <c r="BE93" s="6" t="s">
        <v>25</v>
      </c>
      <c r="BF93" s="6">
        <v>441</v>
      </c>
      <c r="BG93" s="6" t="s">
        <v>26</v>
      </c>
      <c r="BH93" s="6">
        <v>2400</v>
      </c>
      <c r="BI93" s="6">
        <v>-1.70701375716539e-7</v>
      </c>
      <c r="BJ93" s="6">
        <v>-1.05492505766011e-6</v>
      </c>
      <c r="BK93" s="6">
        <v>1.60066956258962</v>
      </c>
      <c r="BL93" s="4"/>
      <c r="BM93" s="4">
        <f t="shared" si="4"/>
        <v>411.72</v>
      </c>
      <c r="BN93" s="15">
        <f t="shared" si="3"/>
        <v>314.72</v>
      </c>
      <c r="BO93" s="6"/>
      <c r="BP93" s="6" t="s">
        <v>24</v>
      </c>
      <c r="BQ93" s="6">
        <v>97</v>
      </c>
      <c r="BR93" s="6" t="s">
        <v>24</v>
      </c>
      <c r="BS93" s="6">
        <v>340</v>
      </c>
      <c r="BT93" s="6" t="s">
        <v>25</v>
      </c>
      <c r="BU93" s="6">
        <v>564</v>
      </c>
      <c r="BV93" s="6" t="s">
        <v>26</v>
      </c>
      <c r="BW93" s="6">
        <v>3138</v>
      </c>
      <c r="BX93" s="6">
        <v>-3.75376107790768e-7</v>
      </c>
      <c r="BY93" s="6">
        <v>-4.5396945911487e-7</v>
      </c>
      <c r="BZ93" s="6">
        <v>1.3196241191617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</row>
    <row r="94" spans="1:10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4"/>
      <c r="AM94" s="4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4"/>
      <c r="AZ94" s="4"/>
      <c r="BA94" s="6" t="s">
        <v>24</v>
      </c>
      <c r="BB94" s="6">
        <v>97</v>
      </c>
      <c r="BC94" s="6" t="s">
        <v>24</v>
      </c>
      <c r="BD94" s="6">
        <v>340</v>
      </c>
      <c r="BE94" s="6" t="s">
        <v>25</v>
      </c>
      <c r="BF94" s="6">
        <v>484</v>
      </c>
      <c r="BG94" s="6" t="s">
        <v>26</v>
      </c>
      <c r="BH94" s="6">
        <v>2646</v>
      </c>
      <c r="BI94" s="6">
        <v>-7.91111820458308e-7</v>
      </c>
      <c r="BJ94" s="6">
        <v>-1.23081543848898e-6</v>
      </c>
      <c r="BK94" s="6">
        <v>1.56905519792807</v>
      </c>
      <c r="BL94" s="4"/>
      <c r="BM94" s="4">
        <f t="shared" si="4"/>
        <v>452.88</v>
      </c>
      <c r="BN94" s="15">
        <f t="shared" si="3"/>
        <v>355.88</v>
      </c>
      <c r="BO94" s="6"/>
      <c r="BP94" s="6" t="s">
        <v>24</v>
      </c>
      <c r="BQ94" s="6">
        <v>97</v>
      </c>
      <c r="BR94" s="6" t="s">
        <v>24</v>
      </c>
      <c r="BS94" s="6">
        <v>340</v>
      </c>
      <c r="BT94" s="6" t="s">
        <v>25</v>
      </c>
      <c r="BU94" s="6">
        <v>598</v>
      </c>
      <c r="BV94" s="6" t="s">
        <v>26</v>
      </c>
      <c r="BW94" s="6">
        <v>3330</v>
      </c>
      <c r="BX94" s="6">
        <v>-4.16468548456637e-7</v>
      </c>
      <c r="BY94" s="6">
        <v>-4.56661944070609e-7</v>
      </c>
      <c r="BZ94" s="6">
        <v>1.30035227632105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</row>
    <row r="95" spans="1:10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4"/>
      <c r="AM95" s="4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4"/>
      <c r="AZ95" s="4"/>
      <c r="BA95" s="6" t="s">
        <v>24</v>
      </c>
      <c r="BB95" s="6">
        <v>97</v>
      </c>
      <c r="BC95" s="6" t="s">
        <v>24</v>
      </c>
      <c r="BD95" s="6">
        <v>340</v>
      </c>
      <c r="BE95" s="6" t="s">
        <v>25</v>
      </c>
      <c r="BF95" s="6">
        <v>529</v>
      </c>
      <c r="BG95" s="6" t="s">
        <v>26</v>
      </c>
      <c r="BH95" s="6">
        <v>2904</v>
      </c>
      <c r="BI95" s="6">
        <v>-3.04604530786845e-7</v>
      </c>
      <c r="BJ95" s="6">
        <v>-6.04407558568005e-7</v>
      </c>
      <c r="BK95" s="6">
        <v>1.44599769631645</v>
      </c>
      <c r="BL95" s="4"/>
      <c r="BM95" s="4">
        <f t="shared" si="4"/>
        <v>496</v>
      </c>
      <c r="BN95" s="15">
        <f t="shared" si="3"/>
        <v>399</v>
      </c>
      <c r="BO95" s="6"/>
      <c r="BP95" s="6" t="s">
        <v>24</v>
      </c>
      <c r="BQ95" s="6">
        <v>97</v>
      </c>
      <c r="BR95" s="6" t="s">
        <v>24</v>
      </c>
      <c r="BS95" s="6">
        <v>340</v>
      </c>
      <c r="BT95" s="6" t="s">
        <v>25</v>
      </c>
      <c r="BU95" s="6">
        <v>668</v>
      </c>
      <c r="BV95" s="6" t="s">
        <v>26</v>
      </c>
      <c r="BW95" s="6">
        <v>3738</v>
      </c>
      <c r="BX95" s="6">
        <v>-4.68659268364269e-7</v>
      </c>
      <c r="BY95" s="6">
        <v>-4.71742639779239e-7</v>
      </c>
      <c r="BZ95" s="6">
        <v>1.28835606515269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</row>
    <row r="96" spans="1:10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4"/>
      <c r="AM96" s="4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4"/>
      <c r="AZ96" s="4"/>
      <c r="BA96" s="6" t="s">
        <v>24</v>
      </c>
      <c r="BB96" s="6">
        <v>97</v>
      </c>
      <c r="BC96" s="6" t="s">
        <v>24</v>
      </c>
      <c r="BD96" s="6">
        <v>340</v>
      </c>
      <c r="BE96" s="6" t="s">
        <v>25</v>
      </c>
      <c r="BF96" s="6">
        <v>576</v>
      </c>
      <c r="BG96" s="6" t="s">
        <v>26</v>
      </c>
      <c r="BH96" s="6">
        <v>3174</v>
      </c>
      <c r="BI96" s="6">
        <v>-5.68668783902575e-7</v>
      </c>
      <c r="BJ96" s="6">
        <v>-7.02241167069164e-7</v>
      </c>
      <c r="BK96" s="6">
        <v>1.41982769933069</v>
      </c>
      <c r="BL96" s="4"/>
      <c r="BM96" s="4">
        <f t="shared" si="4"/>
        <v>541.08</v>
      </c>
      <c r="BN96" s="15">
        <f t="shared" si="3"/>
        <v>444.08</v>
      </c>
      <c r="BO96" s="6"/>
      <c r="BP96" s="6" t="s">
        <v>24</v>
      </c>
      <c r="BQ96" s="6">
        <v>97</v>
      </c>
      <c r="BR96" s="6" t="s">
        <v>24</v>
      </c>
      <c r="BS96" s="6">
        <v>340</v>
      </c>
      <c r="BT96" s="6" t="s">
        <v>25</v>
      </c>
      <c r="BU96" s="6">
        <v>741</v>
      </c>
      <c r="BV96" s="6" t="s">
        <v>26</v>
      </c>
      <c r="BW96" s="6">
        <v>4164</v>
      </c>
      <c r="BX96" s="6">
        <v>-3.40208768806853e-7</v>
      </c>
      <c r="BY96" s="6">
        <v>-3.72653908719787e-7</v>
      </c>
      <c r="BZ96" s="6">
        <v>1.25631368571877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</row>
    <row r="97" spans="1:10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4"/>
      <c r="AM97" s="4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4"/>
      <c r="AZ97" s="4"/>
      <c r="BA97" s="6" t="s">
        <v>24</v>
      </c>
      <c r="BB97" s="6">
        <v>97</v>
      </c>
      <c r="BC97" s="6" t="s">
        <v>24</v>
      </c>
      <c r="BD97" s="6">
        <v>340</v>
      </c>
      <c r="BE97" s="6" t="s">
        <v>25</v>
      </c>
      <c r="BF97" s="6">
        <v>625</v>
      </c>
      <c r="BG97" s="6" t="s">
        <v>26</v>
      </c>
      <c r="BH97" s="6">
        <v>3456</v>
      </c>
      <c r="BI97" s="6">
        <v>-4.68364027716385e-7</v>
      </c>
      <c r="BJ97" s="6">
        <v>-5.53811145627558e-7</v>
      </c>
      <c r="BK97" s="6">
        <v>1.35954241226433</v>
      </c>
      <c r="BL97" s="4"/>
      <c r="BM97" s="4">
        <f t="shared" si="4"/>
        <v>588.12</v>
      </c>
      <c r="BN97" s="15">
        <f t="shared" si="3"/>
        <v>491.12</v>
      </c>
      <c r="BO97" s="6"/>
      <c r="BP97" s="6" t="s">
        <v>24</v>
      </c>
      <c r="BQ97" s="6">
        <v>97</v>
      </c>
      <c r="BR97" s="6" t="s">
        <v>24</v>
      </c>
      <c r="BS97" s="6">
        <v>340</v>
      </c>
      <c r="BT97" s="6" t="s">
        <v>25</v>
      </c>
      <c r="BU97" s="6">
        <v>797</v>
      </c>
      <c r="BV97" s="6" t="s">
        <v>26</v>
      </c>
      <c r="BW97" s="6">
        <v>4488</v>
      </c>
      <c r="BX97" s="6">
        <v>-3.54974497507631e-7</v>
      </c>
      <c r="BY97" s="6">
        <v>-3.69795109574483e-7</v>
      </c>
      <c r="BZ97" s="6">
        <v>1.2432068676313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</row>
    <row r="98" spans="1:10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4"/>
      <c r="AM98" s="4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4"/>
      <c r="AZ98" s="4"/>
      <c r="BA98" s="6" t="s">
        <v>24</v>
      </c>
      <c r="BB98" s="6">
        <v>97</v>
      </c>
      <c r="BC98" s="6" t="s">
        <v>24</v>
      </c>
      <c r="BD98" s="6">
        <v>340</v>
      </c>
      <c r="BE98" s="6" t="s">
        <v>25</v>
      </c>
      <c r="BF98" s="6">
        <v>676</v>
      </c>
      <c r="BG98" s="6" t="s">
        <v>26</v>
      </c>
      <c r="BH98" s="6">
        <v>3750</v>
      </c>
      <c r="BI98" s="6">
        <v>-3.91820345175781e-7</v>
      </c>
      <c r="BJ98" s="6">
        <v>-4.67802210314575e-7</v>
      </c>
      <c r="BK98" s="6">
        <v>1.3227943595807</v>
      </c>
      <c r="BL98" s="4"/>
      <c r="BM98" s="4">
        <f t="shared" si="4"/>
        <v>637.12</v>
      </c>
      <c r="BN98" s="15">
        <f t="shared" si="3"/>
        <v>540.12</v>
      </c>
      <c r="BO98" s="6"/>
      <c r="BP98" s="6" t="s">
        <v>24</v>
      </c>
      <c r="BQ98" s="6">
        <v>97</v>
      </c>
      <c r="BR98" s="6" t="s">
        <v>24</v>
      </c>
      <c r="BS98" s="6">
        <v>340</v>
      </c>
      <c r="BT98" s="6" t="s">
        <v>25</v>
      </c>
      <c r="BU98" s="6">
        <v>861</v>
      </c>
      <c r="BV98" s="6" t="s">
        <v>26</v>
      </c>
      <c r="BW98" s="6">
        <v>4860</v>
      </c>
      <c r="BX98" s="6">
        <v>-3.77391476121267e-7</v>
      </c>
      <c r="BY98" s="6">
        <v>-3.80637426566321e-7</v>
      </c>
      <c r="BZ98" s="6">
        <v>1.2409941593797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</row>
    <row r="99" spans="1:10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4"/>
      <c r="AM99" s="4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4"/>
      <c r="AZ99" s="4"/>
      <c r="BA99" s="6" t="s">
        <v>24</v>
      </c>
      <c r="BB99" s="6">
        <v>97</v>
      </c>
      <c r="BC99" s="6" t="s">
        <v>24</v>
      </c>
      <c r="BD99" s="6">
        <v>340</v>
      </c>
      <c r="BE99" s="6" t="s">
        <v>25</v>
      </c>
      <c r="BF99" s="6">
        <v>729</v>
      </c>
      <c r="BG99" s="6" t="s">
        <v>26</v>
      </c>
      <c r="BH99" s="6">
        <v>4056</v>
      </c>
      <c r="BI99" s="6">
        <v>-4.35978312889619e-7</v>
      </c>
      <c r="BJ99" s="6">
        <v>-4.62896833532389e-7</v>
      </c>
      <c r="BK99" s="6">
        <v>1.29696846363135</v>
      </c>
      <c r="BL99" s="4"/>
      <c r="BM99" s="4">
        <f t="shared" si="4"/>
        <v>688.08</v>
      </c>
      <c r="BN99" s="15">
        <f t="shared" si="3"/>
        <v>591.08</v>
      </c>
      <c r="BO99" s="6"/>
      <c r="BP99" s="6" t="s">
        <v>24</v>
      </c>
      <c r="BQ99" s="6">
        <v>97</v>
      </c>
      <c r="BR99" s="6" t="s">
        <v>24</v>
      </c>
      <c r="BS99" s="6">
        <v>340</v>
      </c>
      <c r="BT99" s="6" t="s">
        <v>25</v>
      </c>
      <c r="BU99" s="6">
        <v>927</v>
      </c>
      <c r="BV99" s="6" t="s">
        <v>26</v>
      </c>
      <c r="BW99" s="6">
        <v>5244</v>
      </c>
      <c r="BX99" s="6">
        <v>-3.11782562826794e-7</v>
      </c>
      <c r="BY99" s="6">
        <v>-3.32192537158479e-7</v>
      </c>
      <c r="BZ99" s="6">
        <v>1.22484453229386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</row>
    <row r="100" spans="1:10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4"/>
      <c r="AM100" s="4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4"/>
      <c r="AZ100" s="4"/>
      <c r="BA100" s="6" t="s">
        <v>24</v>
      </c>
      <c r="BB100" s="6">
        <v>97</v>
      </c>
      <c r="BC100" s="6" t="s">
        <v>24</v>
      </c>
      <c r="BD100" s="6">
        <v>340</v>
      </c>
      <c r="BE100" s="6" t="s">
        <v>25</v>
      </c>
      <c r="BF100" s="6">
        <v>784</v>
      </c>
      <c r="BG100" s="6" t="s">
        <v>26</v>
      </c>
      <c r="BH100" s="6">
        <v>4374</v>
      </c>
      <c r="BI100" s="6">
        <v>-3.69851385796482e-7</v>
      </c>
      <c r="BJ100" s="6">
        <v>-3.91544567618938e-7</v>
      </c>
      <c r="BK100" s="6">
        <v>1.25929342474815</v>
      </c>
      <c r="BL100" s="4"/>
      <c r="BM100" s="4">
        <f t="shared" si="4"/>
        <v>744.855</v>
      </c>
      <c r="BN100" s="15">
        <f t="shared" si="3"/>
        <v>647.855</v>
      </c>
      <c r="BO100" s="6"/>
      <c r="BP100" s="6" t="s">
        <v>24</v>
      </c>
      <c r="BQ100" s="6">
        <v>97</v>
      </c>
      <c r="BR100" s="6" t="s">
        <v>24</v>
      </c>
      <c r="BS100" s="6">
        <v>340</v>
      </c>
      <c r="BT100" s="6" t="s">
        <v>25</v>
      </c>
      <c r="BU100" s="6">
        <v>977</v>
      </c>
      <c r="BV100" s="6" t="s">
        <v>26</v>
      </c>
      <c r="BW100" s="6">
        <v>5532</v>
      </c>
      <c r="BX100" s="6">
        <v>-3.20947672847586e-7</v>
      </c>
      <c r="BY100" s="6">
        <v>-3.30782433200702e-7</v>
      </c>
      <c r="BZ100" s="6">
        <v>1.21628204248696</v>
      </c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</row>
    <row r="101" spans="1:10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4"/>
      <c r="AM101" s="4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4"/>
      <c r="AZ101" s="4"/>
      <c r="BA101" s="6" t="s">
        <v>24</v>
      </c>
      <c r="BB101" s="6">
        <v>97</v>
      </c>
      <c r="BC101" s="6" t="s">
        <v>24</v>
      </c>
      <c r="BD101" s="6">
        <v>340</v>
      </c>
      <c r="BE101" s="6" t="s">
        <v>25</v>
      </c>
      <c r="BF101" s="6">
        <v>841</v>
      </c>
      <c r="BG101" s="6" t="s">
        <v>26</v>
      </c>
      <c r="BH101" s="6">
        <v>4704</v>
      </c>
      <c r="BI101" s="6">
        <v>-3.96694828510814e-7</v>
      </c>
      <c r="BJ101" s="6">
        <v>-4.13389613248234e-7</v>
      </c>
      <c r="BK101" s="6">
        <v>1.26614245228971</v>
      </c>
      <c r="BL101" s="4"/>
      <c r="BM101" s="4">
        <f t="shared" si="4"/>
        <v>799.875</v>
      </c>
      <c r="BN101" s="15">
        <f t="shared" si="3"/>
        <v>702.875</v>
      </c>
      <c r="BO101" s="6"/>
      <c r="BP101" s="6" t="s">
        <v>24</v>
      </c>
      <c r="BQ101" s="6">
        <v>97</v>
      </c>
      <c r="BR101" s="6" t="s">
        <v>24</v>
      </c>
      <c r="BS101" s="6">
        <v>340</v>
      </c>
      <c r="BT101" s="6" t="s">
        <v>25</v>
      </c>
      <c r="BU101" s="6">
        <v>1034</v>
      </c>
      <c r="BV101" s="6" t="s">
        <v>26</v>
      </c>
      <c r="BW101" s="6">
        <v>5862</v>
      </c>
      <c r="BX101" s="6">
        <v>-3.2472556192084e-7</v>
      </c>
      <c r="BY101" s="6">
        <v>-3.33739649304535e-7</v>
      </c>
      <c r="BZ101" s="6">
        <v>1.21745437705697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</row>
    <row r="102" spans="1:10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4"/>
      <c r="AM102" s="4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4"/>
      <c r="AZ102" s="4"/>
      <c r="BA102" s="6" t="s">
        <v>24</v>
      </c>
      <c r="BB102" s="6">
        <v>97</v>
      </c>
      <c r="BC102" s="6" t="s">
        <v>24</v>
      </c>
      <c r="BD102" s="6">
        <v>340</v>
      </c>
      <c r="BE102" s="6" t="s">
        <v>25</v>
      </c>
      <c r="BF102" s="6">
        <v>900</v>
      </c>
      <c r="BG102" s="6" t="s">
        <v>26</v>
      </c>
      <c r="BH102" s="6">
        <v>5046</v>
      </c>
      <c r="BI102" s="6">
        <v>-3.14841628972357e-7</v>
      </c>
      <c r="BJ102" s="6">
        <v>-3.43165435114916e-7</v>
      </c>
      <c r="BK102" s="6">
        <v>1.2373811819414</v>
      </c>
      <c r="BL102" s="4"/>
      <c r="BM102" s="4">
        <f t="shared" si="4"/>
        <v>856.855</v>
      </c>
      <c r="BN102" s="15">
        <f t="shared" si="3"/>
        <v>759.855</v>
      </c>
      <c r="BO102" s="6"/>
      <c r="BP102" s="6" t="s">
        <v>24</v>
      </c>
      <c r="BQ102" s="6">
        <v>97</v>
      </c>
      <c r="BR102" s="6" t="s">
        <v>24</v>
      </c>
      <c r="BS102" s="6">
        <v>340</v>
      </c>
      <c r="BT102" s="6" t="s">
        <v>25</v>
      </c>
      <c r="BU102" s="6">
        <v>1085</v>
      </c>
      <c r="BV102" s="6" t="s">
        <v>26</v>
      </c>
      <c r="BW102" s="6">
        <v>6156</v>
      </c>
      <c r="BX102" s="6">
        <v>-3.21854968923426e-7</v>
      </c>
      <c r="BY102" s="6">
        <v>-3.31888381389126e-7</v>
      </c>
      <c r="BZ102" s="6">
        <v>1.21737937050961</v>
      </c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</row>
    <row r="103" spans="1:10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4"/>
      <c r="AM103" s="4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4"/>
      <c r="AZ103" s="4"/>
      <c r="BA103" s="6" t="s">
        <v>24</v>
      </c>
      <c r="BB103" s="6">
        <v>97</v>
      </c>
      <c r="BC103" s="6" t="s">
        <v>24</v>
      </c>
      <c r="BD103" s="6">
        <v>340</v>
      </c>
      <c r="BE103" s="6" t="s">
        <v>25</v>
      </c>
      <c r="BF103" s="6">
        <v>961</v>
      </c>
      <c r="BG103" s="6" t="s">
        <v>26</v>
      </c>
      <c r="BH103" s="6">
        <v>5400</v>
      </c>
      <c r="BI103" s="6">
        <v>-3.56699962149801e-7</v>
      </c>
      <c r="BJ103" s="6">
        <v>-3.73859365424949e-7</v>
      </c>
      <c r="BK103" s="6">
        <v>1.24725291501829</v>
      </c>
      <c r="BL103" s="4"/>
      <c r="BM103" s="4">
        <f t="shared" si="4"/>
        <v>915.795</v>
      </c>
      <c r="BN103" s="15">
        <f t="shared" si="3"/>
        <v>818.795</v>
      </c>
      <c r="BO103" s="6"/>
      <c r="BP103" s="6" t="s">
        <v>24</v>
      </c>
      <c r="BQ103" s="6">
        <v>97</v>
      </c>
      <c r="BR103" s="6" t="s">
        <v>24</v>
      </c>
      <c r="BS103" s="6">
        <v>340</v>
      </c>
      <c r="BT103" s="6" t="s">
        <v>25</v>
      </c>
      <c r="BU103" s="6">
        <v>1177</v>
      </c>
      <c r="BV103" s="6" t="s">
        <v>26</v>
      </c>
      <c r="BW103" s="6">
        <v>6696</v>
      </c>
      <c r="BX103" s="6">
        <v>-3.21312849126765e-7</v>
      </c>
      <c r="BY103" s="6">
        <v>-3.26788031855374e-7</v>
      </c>
      <c r="BZ103" s="6">
        <v>1.21034396519322</v>
      </c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</row>
    <row r="104" ht="23.25" spans="1: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4"/>
      <c r="AM104" s="4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4"/>
      <c r="AZ104" s="4"/>
      <c r="BA104" s="6" t="s">
        <v>24</v>
      </c>
      <c r="BB104" s="6">
        <v>97</v>
      </c>
      <c r="BC104" s="6" t="s">
        <v>24</v>
      </c>
      <c r="BD104" s="6">
        <v>340</v>
      </c>
      <c r="BE104" s="6" t="s">
        <v>25</v>
      </c>
      <c r="BF104" s="6">
        <v>1024</v>
      </c>
      <c r="BG104" s="6" t="s">
        <v>26</v>
      </c>
      <c r="BH104" s="6">
        <v>5766</v>
      </c>
      <c r="BI104" s="6">
        <v>-3.13207131452445e-7</v>
      </c>
      <c r="BJ104" s="6">
        <v>-3.32051424167617e-7</v>
      </c>
      <c r="BK104" s="6">
        <v>1.22432115865868</v>
      </c>
      <c r="BL104" s="4"/>
      <c r="BM104" s="4">
        <f t="shared" si="4"/>
        <v>976.695</v>
      </c>
      <c r="BN104" s="15">
        <f t="shared" si="3"/>
        <v>879.695</v>
      </c>
      <c r="BO104" s="6"/>
      <c r="BP104" s="6" t="s">
        <v>24</v>
      </c>
      <c r="BQ104" s="6">
        <v>97</v>
      </c>
      <c r="BR104" s="6" t="s">
        <v>24</v>
      </c>
      <c r="BS104" s="6">
        <v>340</v>
      </c>
      <c r="BT104" s="6" t="s">
        <v>25</v>
      </c>
      <c r="BU104" s="6">
        <v>1243</v>
      </c>
      <c r="BV104" s="6" t="s">
        <v>26</v>
      </c>
      <c r="BW104" s="6">
        <v>7080</v>
      </c>
      <c r="BX104" s="6">
        <v>-3.03694283276119e-7</v>
      </c>
      <c r="BY104" s="6">
        <v>-3.10478353111921e-7</v>
      </c>
      <c r="BZ104" s="6">
        <v>1.20054691632778</v>
      </c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</row>
    <row r="105" ht="23.25" spans="1:10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4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4"/>
      <c r="AZ105" s="4"/>
      <c r="BA105" s="6" t="s">
        <v>24</v>
      </c>
      <c r="BB105" s="6">
        <v>97</v>
      </c>
      <c r="BC105" s="6" t="s">
        <v>24</v>
      </c>
      <c r="BD105" s="6">
        <v>340</v>
      </c>
      <c r="BE105" s="6" t="s">
        <v>25</v>
      </c>
      <c r="BF105" s="6">
        <v>1089</v>
      </c>
      <c r="BG105" s="6" t="s">
        <v>26</v>
      </c>
      <c r="BH105" s="6">
        <v>6144</v>
      </c>
      <c r="BI105" s="6">
        <v>-3.23855867598646e-7</v>
      </c>
      <c r="BJ105" s="6">
        <v>-3.34489447707701e-7</v>
      </c>
      <c r="BK105" s="6">
        <v>1.21955329793399</v>
      </c>
      <c r="BL105" s="4"/>
      <c r="BM105" s="4">
        <f t="shared" si="4"/>
        <v>1039.555</v>
      </c>
      <c r="BN105" s="15">
        <f t="shared" si="3"/>
        <v>942.555</v>
      </c>
      <c r="BO105" s="6"/>
      <c r="BP105" s="6" t="s">
        <v>24</v>
      </c>
      <c r="BQ105" s="6">
        <v>97</v>
      </c>
      <c r="BR105" s="6" t="s">
        <v>24</v>
      </c>
      <c r="BS105" s="6">
        <v>340</v>
      </c>
      <c r="BT105" s="6" t="s">
        <v>25</v>
      </c>
      <c r="BU105" s="6">
        <v>1325</v>
      </c>
      <c r="BV105" s="6" t="s">
        <v>26</v>
      </c>
      <c r="BW105" s="6">
        <v>7560</v>
      </c>
      <c r="BX105" s="6">
        <v>-3.03410297558755e-7</v>
      </c>
      <c r="BY105" s="6">
        <v>-3.10705516183015e-7</v>
      </c>
      <c r="BZ105" s="6">
        <v>1.20121155512336</v>
      </c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</row>
    <row r="106" ht="23.25" spans="1:10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4"/>
      <c r="AZ106" s="4"/>
      <c r="BA106" s="10" t="s">
        <v>29</v>
      </c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4"/>
      <c r="BM106" s="4"/>
      <c r="BN106" s="15"/>
      <c r="BO106" s="6"/>
      <c r="BP106" s="10" t="s">
        <v>29</v>
      </c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</row>
    <row r="107" ht="23.25" spans="1:10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4"/>
      <c r="Z107" s="4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4"/>
      <c r="BM107" s="4"/>
      <c r="BN107" s="15"/>
      <c r="BO107" s="3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</row>
    <row r="108" ht="23.25" spans="1:10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4"/>
      <c r="Z108" s="4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4"/>
      <c r="AM108" s="4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4"/>
      <c r="AZ108" s="4"/>
      <c r="BA108" s="6" t="s">
        <v>12</v>
      </c>
      <c r="BB108" s="6" t="s">
        <v>13</v>
      </c>
      <c r="BC108" s="6" t="s">
        <v>14</v>
      </c>
      <c r="BD108" s="6" t="s">
        <v>15</v>
      </c>
      <c r="BE108" s="6" t="s">
        <v>16</v>
      </c>
      <c r="BF108" s="6" t="s">
        <v>17</v>
      </c>
      <c r="BG108" s="6" t="s">
        <v>18</v>
      </c>
      <c r="BH108" s="6" t="s">
        <v>19</v>
      </c>
      <c r="BI108" s="6" t="s">
        <v>20</v>
      </c>
      <c r="BJ108" s="6" t="s">
        <v>21</v>
      </c>
      <c r="BK108" s="6" t="s">
        <v>22</v>
      </c>
      <c r="BL108" s="4"/>
      <c r="BM108" s="4"/>
      <c r="BN108" s="15"/>
      <c r="BO108" s="3"/>
      <c r="BP108" s="6" t="s">
        <v>12</v>
      </c>
      <c r="BQ108" s="6" t="s">
        <v>13</v>
      </c>
      <c r="BR108" s="6" t="s">
        <v>14</v>
      </c>
      <c r="BS108" s="6" t="s">
        <v>15</v>
      </c>
      <c r="BT108" s="6" t="s">
        <v>16</v>
      </c>
      <c r="BU108" s="6" t="s">
        <v>17</v>
      </c>
      <c r="BV108" s="6" t="s">
        <v>18</v>
      </c>
      <c r="BW108" s="6" t="s">
        <v>19</v>
      </c>
      <c r="BX108" s="6" t="s">
        <v>20</v>
      </c>
      <c r="BY108" s="6" t="s">
        <v>21</v>
      </c>
      <c r="BZ108" s="6" t="s">
        <v>22</v>
      </c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</row>
    <row r="109" spans="1:10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4"/>
      <c r="AM109" s="4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4"/>
      <c r="AZ109" s="4"/>
      <c r="BA109" s="6" t="s">
        <v>24</v>
      </c>
      <c r="BB109" s="6">
        <v>122</v>
      </c>
      <c r="BC109" s="6" t="s">
        <v>24</v>
      </c>
      <c r="BD109" s="6">
        <v>340</v>
      </c>
      <c r="BE109" s="6" t="s">
        <v>25</v>
      </c>
      <c r="BF109" s="6">
        <v>100</v>
      </c>
      <c r="BG109" s="6" t="s">
        <v>26</v>
      </c>
      <c r="BH109" s="6">
        <v>486</v>
      </c>
      <c r="BI109" s="6">
        <v>-0.865136387837881</v>
      </c>
      <c r="BJ109" s="6">
        <v>-0.873053187640729</v>
      </c>
      <c r="BK109" s="6">
        <v>-0.423729540235264</v>
      </c>
      <c r="BL109" s="4"/>
      <c r="BM109" s="4">
        <f t="shared" si="4"/>
        <v>85.68</v>
      </c>
      <c r="BN109" s="15">
        <f t="shared" si="3"/>
        <v>36.32</v>
      </c>
      <c r="BO109" s="4"/>
      <c r="BP109" s="6" t="s">
        <v>24</v>
      </c>
      <c r="BQ109" s="6">
        <v>122</v>
      </c>
      <c r="BR109" s="6" t="s">
        <v>24</v>
      </c>
      <c r="BS109" s="6">
        <v>340</v>
      </c>
      <c r="BT109" s="6" t="s">
        <v>25</v>
      </c>
      <c r="BU109" s="6">
        <v>122</v>
      </c>
      <c r="BV109" s="6" t="s">
        <v>26</v>
      </c>
      <c r="BW109" s="6">
        <v>618</v>
      </c>
      <c r="BX109" s="6">
        <v>-1.60960253866672</v>
      </c>
      <c r="BY109" s="6">
        <v>-1.62656138554015</v>
      </c>
      <c r="BZ109" s="6">
        <v>-0.821190028735419</v>
      </c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</row>
    <row r="110" spans="1:10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4"/>
      <c r="AM110" s="4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4"/>
      <c r="AZ110" s="4"/>
      <c r="BA110" s="6" t="s">
        <v>24</v>
      </c>
      <c r="BB110" s="6">
        <v>122</v>
      </c>
      <c r="BC110" s="6" t="s">
        <v>24</v>
      </c>
      <c r="BD110" s="6">
        <v>340</v>
      </c>
      <c r="BE110" s="6" t="s">
        <v>25</v>
      </c>
      <c r="BF110" s="6">
        <v>121</v>
      </c>
      <c r="BG110" s="6" t="s">
        <v>26</v>
      </c>
      <c r="BH110" s="6">
        <v>600</v>
      </c>
      <c r="BI110" s="6">
        <v>-1.46225250860057</v>
      </c>
      <c r="BJ110" s="6">
        <v>-1.47692627945226</v>
      </c>
      <c r="BK110" s="6">
        <v>-0.619415443708453</v>
      </c>
      <c r="BL110" s="4"/>
      <c r="BM110" s="4">
        <f t="shared" si="4"/>
        <v>105</v>
      </c>
      <c r="BN110" s="15">
        <f t="shared" si="3"/>
        <v>17</v>
      </c>
      <c r="BO110" s="6"/>
      <c r="BP110" s="6" t="s">
        <v>24</v>
      </c>
      <c r="BQ110" s="6">
        <v>122</v>
      </c>
      <c r="BR110" s="6" t="s">
        <v>24</v>
      </c>
      <c r="BS110" s="6">
        <v>340</v>
      </c>
      <c r="BT110" s="6" t="s">
        <v>25</v>
      </c>
      <c r="BU110" s="6">
        <v>165</v>
      </c>
      <c r="BV110" s="6" t="s">
        <v>26</v>
      </c>
      <c r="BW110" s="6">
        <v>864</v>
      </c>
      <c r="BX110" s="6">
        <v>-1.59185577052999</v>
      </c>
      <c r="BY110" s="6">
        <v>-1.28189058969057</v>
      </c>
      <c r="BZ110" s="6">
        <v>-0.202955984193745</v>
      </c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</row>
    <row r="111" spans="1:10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4"/>
      <c r="AM111" s="4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4"/>
      <c r="AZ111" s="4"/>
      <c r="BA111" s="11" t="s">
        <v>24</v>
      </c>
      <c r="BB111" s="11">
        <v>122</v>
      </c>
      <c r="BC111" s="11" t="s">
        <v>24</v>
      </c>
      <c r="BD111" s="11">
        <v>340</v>
      </c>
      <c r="BE111" s="11" t="s">
        <v>25</v>
      </c>
      <c r="BF111" s="11">
        <v>144</v>
      </c>
      <c r="BG111" s="11" t="s">
        <v>26</v>
      </c>
      <c r="BH111" s="11">
        <v>726</v>
      </c>
      <c r="BI111" s="11">
        <v>-1.78240978667546</v>
      </c>
      <c r="BJ111" s="11">
        <v>-1.49782256636283</v>
      </c>
      <c r="BK111" s="11">
        <v>-0.472907893344973</v>
      </c>
      <c r="BL111" s="12"/>
      <c r="BM111" s="12">
        <f t="shared" si="4"/>
        <v>126.28</v>
      </c>
      <c r="BN111" s="15">
        <f t="shared" si="3"/>
        <v>4.27999999999999</v>
      </c>
      <c r="BO111" s="6"/>
      <c r="BP111" s="6" t="s">
        <v>24</v>
      </c>
      <c r="BQ111" s="6">
        <v>122</v>
      </c>
      <c r="BR111" s="6" t="s">
        <v>24</v>
      </c>
      <c r="BS111" s="6">
        <v>340</v>
      </c>
      <c r="BT111" s="6" t="s">
        <v>25</v>
      </c>
      <c r="BU111" s="6">
        <v>174</v>
      </c>
      <c r="BV111" s="6" t="s">
        <v>26</v>
      </c>
      <c r="BW111" s="6">
        <v>906</v>
      </c>
      <c r="BX111" s="6">
        <v>-1.60683201954105</v>
      </c>
      <c r="BY111" s="6">
        <v>-1.30252606144523</v>
      </c>
      <c r="BZ111" s="6">
        <v>-0.185680033675767</v>
      </c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</row>
    <row r="112" spans="1:10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4"/>
      <c r="AM112" s="4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4"/>
      <c r="AZ112" s="4"/>
      <c r="BA112" s="6" t="s">
        <v>24</v>
      </c>
      <c r="BB112" s="6">
        <v>122</v>
      </c>
      <c r="BC112" s="6" t="s">
        <v>24</v>
      </c>
      <c r="BD112" s="6">
        <v>340</v>
      </c>
      <c r="BE112" s="6" t="s">
        <v>25</v>
      </c>
      <c r="BF112" s="6">
        <v>169</v>
      </c>
      <c r="BG112" s="6" t="s">
        <v>26</v>
      </c>
      <c r="BH112" s="6">
        <v>864</v>
      </c>
      <c r="BI112" s="6">
        <v>-1.66684011228943</v>
      </c>
      <c r="BJ112" s="6">
        <v>-1.36892865609873</v>
      </c>
      <c r="BK112" s="6">
        <v>-0.24323001139393</v>
      </c>
      <c r="BL112" s="4"/>
      <c r="BM112" s="4">
        <f t="shared" si="4"/>
        <v>149.52</v>
      </c>
      <c r="BN112" s="15">
        <f t="shared" si="3"/>
        <v>27.52</v>
      </c>
      <c r="BO112" s="6"/>
      <c r="BP112" s="6" t="s">
        <v>24</v>
      </c>
      <c r="BQ112" s="6">
        <v>122</v>
      </c>
      <c r="BR112" s="6" t="s">
        <v>24</v>
      </c>
      <c r="BS112" s="6">
        <v>340</v>
      </c>
      <c r="BT112" s="6" t="s">
        <v>25</v>
      </c>
      <c r="BU112" s="6">
        <v>209</v>
      </c>
      <c r="BV112" s="6" t="s">
        <v>26</v>
      </c>
      <c r="BW112" s="6">
        <v>1104</v>
      </c>
      <c r="BX112" s="6">
        <v>-1.15782933301492</v>
      </c>
      <c r="BY112" s="6">
        <v>-1.01086751679694</v>
      </c>
      <c r="BZ112" s="6">
        <v>0.0683694371006281</v>
      </c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</row>
    <row r="113" spans="1:10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4"/>
      <c r="AM113" s="4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4"/>
      <c r="AZ113" s="4"/>
      <c r="BA113" s="6" t="s">
        <v>24</v>
      </c>
      <c r="BB113" s="6">
        <v>122</v>
      </c>
      <c r="BC113" s="6" t="s">
        <v>24</v>
      </c>
      <c r="BD113" s="6">
        <v>340</v>
      </c>
      <c r="BE113" s="6" t="s">
        <v>25</v>
      </c>
      <c r="BF113" s="6">
        <v>196</v>
      </c>
      <c r="BG113" s="6" t="s">
        <v>26</v>
      </c>
      <c r="BH113" s="6">
        <v>1014</v>
      </c>
      <c r="BI113" s="6">
        <v>-1.3456963527164</v>
      </c>
      <c r="BJ113" s="6">
        <v>-1.16230227477474</v>
      </c>
      <c r="BK113" s="6">
        <v>0.079636516340899</v>
      </c>
      <c r="BL113" s="4"/>
      <c r="BM113" s="4">
        <f t="shared" si="4"/>
        <v>176.595</v>
      </c>
      <c r="BN113" s="15">
        <f t="shared" ref="BN113:BN176" si="5">ABS(BB113-BM113)</f>
        <v>54.595</v>
      </c>
      <c r="BO113" s="6"/>
      <c r="BP113" s="6" t="s">
        <v>24</v>
      </c>
      <c r="BQ113" s="6">
        <v>122</v>
      </c>
      <c r="BR113" s="6" t="s">
        <v>24</v>
      </c>
      <c r="BS113" s="6">
        <v>340</v>
      </c>
      <c r="BT113" s="6" t="s">
        <v>25</v>
      </c>
      <c r="BU113" s="6">
        <v>238</v>
      </c>
      <c r="BV113" s="6" t="s">
        <v>26</v>
      </c>
      <c r="BW113" s="6">
        <v>1266</v>
      </c>
      <c r="BX113" s="6">
        <v>-1.07317748605848</v>
      </c>
      <c r="BY113" s="6">
        <v>-0.930477496664617</v>
      </c>
      <c r="BZ113" s="6">
        <v>0.252559421367754</v>
      </c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</row>
    <row r="114" spans="1:10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4"/>
      <c r="AM114" s="4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4"/>
      <c r="AZ114" s="4"/>
      <c r="BA114" s="6" t="s">
        <v>24</v>
      </c>
      <c r="BB114" s="6">
        <v>122</v>
      </c>
      <c r="BC114" s="6" t="s">
        <v>24</v>
      </c>
      <c r="BD114" s="6">
        <v>340</v>
      </c>
      <c r="BE114" s="6" t="s">
        <v>25</v>
      </c>
      <c r="BF114" s="6">
        <v>225</v>
      </c>
      <c r="BG114" s="6" t="s">
        <v>26</v>
      </c>
      <c r="BH114" s="6">
        <v>1176</v>
      </c>
      <c r="BI114" s="6">
        <v>-1.15099899383727</v>
      </c>
      <c r="BJ114" s="6">
        <v>-1.01920997823459</v>
      </c>
      <c r="BK114" s="6">
        <v>0.137230626244938</v>
      </c>
      <c r="BL114" s="4"/>
      <c r="BM114" s="4">
        <f t="shared" si="4"/>
        <v>203.895</v>
      </c>
      <c r="BN114" s="15">
        <f t="shared" si="5"/>
        <v>81.8950000000001</v>
      </c>
      <c r="BO114" s="6"/>
      <c r="BP114" s="6" t="s">
        <v>24</v>
      </c>
      <c r="BQ114" s="6">
        <v>122</v>
      </c>
      <c r="BR114" s="6" t="s">
        <v>24</v>
      </c>
      <c r="BS114" s="6">
        <v>340</v>
      </c>
      <c r="BT114" s="6" t="s">
        <v>25</v>
      </c>
      <c r="BU114" s="6">
        <v>256</v>
      </c>
      <c r="BV114" s="6" t="s">
        <v>26</v>
      </c>
      <c r="BW114" s="6">
        <v>1362</v>
      </c>
      <c r="BX114" s="6">
        <v>-1.08486302571587</v>
      </c>
      <c r="BY114" s="6">
        <v>-0.948331795911561</v>
      </c>
      <c r="BZ114" s="6">
        <v>0.232580698206799</v>
      </c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</row>
    <row r="115" spans="1:10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4"/>
      <c r="AM115" s="4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4"/>
      <c r="AZ115" s="4"/>
      <c r="BA115" s="6" t="s">
        <v>24</v>
      </c>
      <c r="BB115" s="6">
        <v>122</v>
      </c>
      <c r="BC115" s="6" t="s">
        <v>24</v>
      </c>
      <c r="BD115" s="6">
        <v>340</v>
      </c>
      <c r="BE115" s="6" t="s">
        <v>25</v>
      </c>
      <c r="BF115" s="6">
        <v>256</v>
      </c>
      <c r="BG115" s="6" t="s">
        <v>26</v>
      </c>
      <c r="BH115" s="6">
        <v>1350</v>
      </c>
      <c r="BI115" s="6">
        <v>-0.912084062384235</v>
      </c>
      <c r="BJ115" s="6">
        <v>-0.807464878903489</v>
      </c>
      <c r="BK115" s="6">
        <v>0.411889985868477</v>
      </c>
      <c r="BL115" s="4"/>
      <c r="BM115" s="4">
        <f t="shared" si="4"/>
        <v>233.155</v>
      </c>
      <c r="BN115" s="15">
        <f t="shared" si="5"/>
        <v>111.155</v>
      </c>
      <c r="BO115" s="6"/>
      <c r="BP115" s="6" t="s">
        <v>24</v>
      </c>
      <c r="BQ115" s="6">
        <v>122</v>
      </c>
      <c r="BR115" s="6" t="s">
        <v>24</v>
      </c>
      <c r="BS115" s="6">
        <v>340</v>
      </c>
      <c r="BT115" s="6" t="s">
        <v>25</v>
      </c>
      <c r="BU115" s="6">
        <v>297</v>
      </c>
      <c r="BV115" s="6" t="s">
        <v>26</v>
      </c>
      <c r="BW115" s="6">
        <v>1596</v>
      </c>
      <c r="BX115" s="6">
        <v>-0.75836471856156</v>
      </c>
      <c r="BY115" s="6">
        <v>-0.710580104225924</v>
      </c>
      <c r="BZ115" s="6">
        <v>0.508781651754399</v>
      </c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</row>
    <row r="116" spans="1:10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4"/>
      <c r="AM116" s="4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4"/>
      <c r="AZ116" s="4"/>
      <c r="BA116" s="6" t="s">
        <v>24</v>
      </c>
      <c r="BB116" s="6">
        <v>122</v>
      </c>
      <c r="BC116" s="6" t="s">
        <v>24</v>
      </c>
      <c r="BD116" s="6">
        <v>340</v>
      </c>
      <c r="BE116" s="6" t="s">
        <v>25</v>
      </c>
      <c r="BF116" s="6">
        <v>289</v>
      </c>
      <c r="BG116" s="6" t="s">
        <v>26</v>
      </c>
      <c r="BH116" s="6">
        <v>1536</v>
      </c>
      <c r="BI116" s="6">
        <v>-0.859179925576626</v>
      </c>
      <c r="BJ116" s="6">
        <v>-0.771821114875065</v>
      </c>
      <c r="BK116" s="6">
        <v>0.565588432756444</v>
      </c>
      <c r="BL116" s="4"/>
      <c r="BM116" s="4">
        <f t="shared" si="4"/>
        <v>264.375</v>
      </c>
      <c r="BN116" s="15">
        <f t="shared" si="5"/>
        <v>142.375</v>
      </c>
      <c r="BO116" s="6"/>
      <c r="BP116" s="6" t="s">
        <v>24</v>
      </c>
      <c r="BQ116" s="6">
        <v>122</v>
      </c>
      <c r="BR116" s="6" t="s">
        <v>24</v>
      </c>
      <c r="BS116" s="6">
        <v>340</v>
      </c>
      <c r="BT116" s="6" t="s">
        <v>25</v>
      </c>
      <c r="BU116" s="6">
        <v>340</v>
      </c>
      <c r="BV116" s="6" t="s">
        <v>26</v>
      </c>
      <c r="BW116" s="6">
        <v>1842</v>
      </c>
      <c r="BX116" s="6">
        <v>-0.790842590730915</v>
      </c>
      <c r="BY116" s="6">
        <v>-0.72709204707099</v>
      </c>
      <c r="BZ116" s="6">
        <v>0.28657902132243</v>
      </c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</row>
    <row r="117" spans="1:10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4"/>
      <c r="AM117" s="4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4"/>
      <c r="AZ117" s="4"/>
      <c r="BA117" s="6" t="s">
        <v>24</v>
      </c>
      <c r="BB117" s="6">
        <v>122</v>
      </c>
      <c r="BC117" s="6" t="s">
        <v>24</v>
      </c>
      <c r="BD117" s="6">
        <v>340</v>
      </c>
      <c r="BE117" s="6" t="s">
        <v>25</v>
      </c>
      <c r="BF117" s="6">
        <v>324</v>
      </c>
      <c r="BG117" s="6" t="s">
        <v>26</v>
      </c>
      <c r="BH117" s="6">
        <v>1734</v>
      </c>
      <c r="BI117" s="6">
        <v>-0.464425164096205</v>
      </c>
      <c r="BJ117" s="6">
        <v>-0.423283029926917</v>
      </c>
      <c r="BK117" s="6">
        <v>1.16992745858522</v>
      </c>
      <c r="BL117" s="4"/>
      <c r="BM117" s="4">
        <f t="shared" si="4"/>
        <v>297.555</v>
      </c>
      <c r="BN117" s="15">
        <f t="shared" si="5"/>
        <v>175.555</v>
      </c>
      <c r="BO117" s="6"/>
      <c r="BP117" s="6" t="s">
        <v>24</v>
      </c>
      <c r="BQ117" s="6">
        <v>122</v>
      </c>
      <c r="BR117" s="6" t="s">
        <v>24</v>
      </c>
      <c r="BS117" s="6">
        <v>340</v>
      </c>
      <c r="BT117" s="6" t="s">
        <v>25</v>
      </c>
      <c r="BU117" s="6">
        <v>380</v>
      </c>
      <c r="BV117" s="6" t="s">
        <v>26</v>
      </c>
      <c r="BW117" s="6">
        <v>2070</v>
      </c>
      <c r="BX117" s="6">
        <v>-0.0632602563099546</v>
      </c>
      <c r="BY117" s="6">
        <v>-0.0564946186022488</v>
      </c>
      <c r="BZ117" s="6">
        <v>1.9686944204064</v>
      </c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</row>
    <row r="118" spans="1:10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4"/>
      <c r="AM118" s="4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4"/>
      <c r="AZ118" s="4"/>
      <c r="BA118" s="6" t="s">
        <v>24</v>
      </c>
      <c r="BB118" s="6">
        <v>122</v>
      </c>
      <c r="BC118" s="6" t="s">
        <v>24</v>
      </c>
      <c r="BD118" s="6">
        <v>340</v>
      </c>
      <c r="BE118" s="6" t="s">
        <v>25</v>
      </c>
      <c r="BF118" s="6">
        <v>361</v>
      </c>
      <c r="BG118" s="6" t="s">
        <v>26</v>
      </c>
      <c r="BH118" s="6">
        <v>1944</v>
      </c>
      <c r="BI118" s="6">
        <v>-0.248313615322745</v>
      </c>
      <c r="BJ118" s="6">
        <v>-0.225362348189257</v>
      </c>
      <c r="BK118" s="6">
        <v>1.83806952535842</v>
      </c>
      <c r="BL118" s="4"/>
      <c r="BM118" s="4">
        <f t="shared" si="4"/>
        <v>332.695</v>
      </c>
      <c r="BN118" s="15">
        <f t="shared" si="5"/>
        <v>210.695</v>
      </c>
      <c r="BO118" s="6"/>
      <c r="BP118" s="6" t="s">
        <v>24</v>
      </c>
      <c r="BQ118" s="6">
        <v>122</v>
      </c>
      <c r="BR118" s="6" t="s">
        <v>24</v>
      </c>
      <c r="BS118" s="6">
        <v>340</v>
      </c>
      <c r="BT118" s="6" t="s">
        <v>25</v>
      </c>
      <c r="BU118" s="6">
        <v>435</v>
      </c>
      <c r="BV118" s="6" t="s">
        <v>26</v>
      </c>
      <c r="BW118" s="6">
        <v>2388</v>
      </c>
      <c r="BX118" s="6">
        <v>-5.05920483927946e-6</v>
      </c>
      <c r="BY118" s="6">
        <v>-6.00845903948043e-6</v>
      </c>
      <c r="BZ118" s="6">
        <v>1.89782828632678</v>
      </c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</row>
    <row r="119" spans="1:10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4"/>
      <c r="AM119" s="4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4"/>
      <c r="AZ119" s="4"/>
      <c r="BA119" s="6" t="s">
        <v>24</v>
      </c>
      <c r="BB119" s="6">
        <v>122</v>
      </c>
      <c r="BC119" s="6" t="s">
        <v>24</v>
      </c>
      <c r="BD119" s="6">
        <v>340</v>
      </c>
      <c r="BE119" s="6" t="s">
        <v>25</v>
      </c>
      <c r="BF119" s="6">
        <v>400</v>
      </c>
      <c r="BG119" s="6" t="s">
        <v>26</v>
      </c>
      <c r="BH119" s="6">
        <v>2166</v>
      </c>
      <c r="BI119" s="6">
        <v>3.4177053899209e-5</v>
      </c>
      <c r="BJ119" s="6">
        <v>-0.000270800228377676</v>
      </c>
      <c r="BK119" s="6">
        <v>2.49283271938145</v>
      </c>
      <c r="BL119" s="4"/>
      <c r="BM119" s="4">
        <f t="shared" si="4"/>
        <v>369.795</v>
      </c>
      <c r="BN119" s="15">
        <f t="shared" si="5"/>
        <v>247.795</v>
      </c>
      <c r="BO119" s="6"/>
      <c r="BP119" s="6" t="s">
        <v>24</v>
      </c>
      <c r="BQ119" s="6">
        <v>122</v>
      </c>
      <c r="BR119" s="6" t="s">
        <v>24</v>
      </c>
      <c r="BS119" s="6">
        <v>340</v>
      </c>
      <c r="BT119" s="6" t="s">
        <v>25</v>
      </c>
      <c r="BU119" s="6">
        <v>485</v>
      </c>
      <c r="BV119" s="6" t="s">
        <v>26</v>
      </c>
      <c r="BW119" s="6">
        <v>2676</v>
      </c>
      <c r="BX119" s="6">
        <v>-4.84166029284707e-7</v>
      </c>
      <c r="BY119" s="6">
        <v>-9.80274360613447e-7</v>
      </c>
      <c r="BZ119" s="6">
        <v>1.55758140850754</v>
      </c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</row>
    <row r="120" spans="1:10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4"/>
      <c r="AM120" s="4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4"/>
      <c r="AZ120" s="4"/>
      <c r="BA120" s="6" t="s">
        <v>24</v>
      </c>
      <c r="BB120" s="6">
        <v>122</v>
      </c>
      <c r="BC120" s="6" t="s">
        <v>24</v>
      </c>
      <c r="BD120" s="6">
        <v>340</v>
      </c>
      <c r="BE120" s="6" t="s">
        <v>25</v>
      </c>
      <c r="BF120" s="6">
        <v>441</v>
      </c>
      <c r="BG120" s="6" t="s">
        <v>26</v>
      </c>
      <c r="BH120" s="6">
        <v>2400</v>
      </c>
      <c r="BI120" s="6">
        <v>-1.27847872120941e-6</v>
      </c>
      <c r="BJ120" s="6">
        <v>-2.98785699804848e-6</v>
      </c>
      <c r="BK120" s="6">
        <v>1.80112813725225</v>
      </c>
      <c r="BL120" s="4"/>
      <c r="BM120" s="4">
        <f t="shared" si="4"/>
        <v>411.72</v>
      </c>
      <c r="BN120" s="15">
        <f t="shared" si="5"/>
        <v>289.72</v>
      </c>
      <c r="BO120" s="6"/>
      <c r="BP120" s="6" t="s">
        <v>24</v>
      </c>
      <c r="BQ120" s="6">
        <v>122</v>
      </c>
      <c r="BR120" s="6" t="s">
        <v>24</v>
      </c>
      <c r="BS120" s="6">
        <v>340</v>
      </c>
      <c r="BT120" s="6" t="s">
        <v>25</v>
      </c>
      <c r="BU120" s="6">
        <v>564</v>
      </c>
      <c r="BV120" s="6" t="s">
        <v>26</v>
      </c>
      <c r="BW120" s="6">
        <v>3138</v>
      </c>
      <c r="BX120" s="6">
        <v>-3.38679363584284e-7</v>
      </c>
      <c r="BY120" s="6">
        <v>-6.45932002739526e-7</v>
      </c>
      <c r="BZ120" s="6">
        <v>1.46004244698762</v>
      </c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</row>
    <row r="121" spans="1:10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4"/>
      <c r="AM121" s="4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4"/>
      <c r="AZ121" s="4"/>
      <c r="BA121" s="6" t="s">
        <v>24</v>
      </c>
      <c r="BB121" s="6">
        <v>122</v>
      </c>
      <c r="BC121" s="6" t="s">
        <v>24</v>
      </c>
      <c r="BD121" s="6">
        <v>340</v>
      </c>
      <c r="BE121" s="6" t="s">
        <v>25</v>
      </c>
      <c r="BF121" s="6">
        <v>484</v>
      </c>
      <c r="BG121" s="6" t="s">
        <v>26</v>
      </c>
      <c r="BH121" s="6">
        <v>2646</v>
      </c>
      <c r="BI121" s="6">
        <v>-1.11440721689967e-6</v>
      </c>
      <c r="BJ121" s="6">
        <v>-1.49616720893129e-6</v>
      </c>
      <c r="BK121" s="6">
        <v>1.60403699750986</v>
      </c>
      <c r="BL121" s="4"/>
      <c r="BM121" s="4">
        <f t="shared" si="4"/>
        <v>452.88</v>
      </c>
      <c r="BN121" s="15">
        <f t="shared" si="5"/>
        <v>330.88</v>
      </c>
      <c r="BO121" s="6"/>
      <c r="BP121" s="6" t="s">
        <v>24</v>
      </c>
      <c r="BQ121" s="6">
        <v>122</v>
      </c>
      <c r="BR121" s="6" t="s">
        <v>24</v>
      </c>
      <c r="BS121" s="6">
        <v>340</v>
      </c>
      <c r="BT121" s="6" t="s">
        <v>25</v>
      </c>
      <c r="BU121" s="6">
        <v>598</v>
      </c>
      <c r="BV121" s="6" t="s">
        <v>26</v>
      </c>
      <c r="BW121" s="6">
        <v>3330</v>
      </c>
      <c r="BX121" s="6">
        <v>-3.6767560906105e-7</v>
      </c>
      <c r="BY121" s="6">
        <v>-6.0436300508234e-7</v>
      </c>
      <c r="BZ121" s="6">
        <v>1.43048152723714</v>
      </c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</row>
    <row r="122" spans="1:10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4"/>
      <c r="AM122" s="4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4"/>
      <c r="AZ122" s="4"/>
      <c r="BA122" s="6" t="s">
        <v>24</v>
      </c>
      <c r="BB122" s="6">
        <v>122</v>
      </c>
      <c r="BC122" s="6" t="s">
        <v>24</v>
      </c>
      <c r="BD122" s="6">
        <v>340</v>
      </c>
      <c r="BE122" s="6" t="s">
        <v>25</v>
      </c>
      <c r="BF122" s="6">
        <v>529</v>
      </c>
      <c r="BG122" s="6" t="s">
        <v>26</v>
      </c>
      <c r="BH122" s="6">
        <v>2904</v>
      </c>
      <c r="BI122" s="6">
        <v>-1.13059622730488e-6</v>
      </c>
      <c r="BJ122" s="6">
        <v>-1.27122206691731e-6</v>
      </c>
      <c r="BK122" s="6">
        <v>1.53895210801738</v>
      </c>
      <c r="BL122" s="4"/>
      <c r="BM122" s="4">
        <f t="shared" si="4"/>
        <v>496</v>
      </c>
      <c r="BN122" s="15">
        <f t="shared" si="5"/>
        <v>374</v>
      </c>
      <c r="BO122" s="6"/>
      <c r="BP122" s="6" t="s">
        <v>24</v>
      </c>
      <c r="BQ122" s="6">
        <v>122</v>
      </c>
      <c r="BR122" s="6" t="s">
        <v>24</v>
      </c>
      <c r="BS122" s="6">
        <v>340</v>
      </c>
      <c r="BT122" s="6" t="s">
        <v>25</v>
      </c>
      <c r="BU122" s="6">
        <v>668</v>
      </c>
      <c r="BV122" s="6" t="s">
        <v>26</v>
      </c>
      <c r="BW122" s="6">
        <v>3738</v>
      </c>
      <c r="BX122" s="6">
        <v>-3.89190318962605e-7</v>
      </c>
      <c r="BY122" s="6">
        <v>-5.15678039414641e-7</v>
      </c>
      <c r="BZ122" s="6">
        <v>1.36577728777178</v>
      </c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</row>
    <row r="123" spans="1:10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4"/>
      <c r="AM123" s="4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4"/>
      <c r="AZ123" s="4"/>
      <c r="BA123" s="6" t="s">
        <v>24</v>
      </c>
      <c r="BB123" s="6">
        <v>122</v>
      </c>
      <c r="BC123" s="6" t="s">
        <v>24</v>
      </c>
      <c r="BD123" s="6">
        <v>340</v>
      </c>
      <c r="BE123" s="6" t="s">
        <v>25</v>
      </c>
      <c r="BF123" s="6">
        <v>576</v>
      </c>
      <c r="BG123" s="6" t="s">
        <v>26</v>
      </c>
      <c r="BH123" s="6">
        <v>3174</v>
      </c>
      <c r="BI123" s="6">
        <v>-5.96548008402949e-7</v>
      </c>
      <c r="BJ123" s="6">
        <v>-8.71633763819419e-7</v>
      </c>
      <c r="BK123" s="6">
        <v>1.49939427794015</v>
      </c>
      <c r="BL123" s="4"/>
      <c r="BM123" s="4">
        <f t="shared" si="4"/>
        <v>541.08</v>
      </c>
      <c r="BN123" s="15">
        <f t="shared" si="5"/>
        <v>419.08</v>
      </c>
      <c r="BO123" s="6"/>
      <c r="BP123" s="6" t="s">
        <v>24</v>
      </c>
      <c r="BQ123" s="6">
        <v>122</v>
      </c>
      <c r="BR123" s="6" t="s">
        <v>24</v>
      </c>
      <c r="BS123" s="6">
        <v>340</v>
      </c>
      <c r="BT123" s="6" t="s">
        <v>25</v>
      </c>
      <c r="BU123" s="6">
        <v>741</v>
      </c>
      <c r="BV123" s="6" t="s">
        <v>26</v>
      </c>
      <c r="BW123" s="6">
        <v>4164</v>
      </c>
      <c r="BX123" s="6">
        <v>-3.42553379604928e-7</v>
      </c>
      <c r="BY123" s="6">
        <v>-4.43935479407313e-7</v>
      </c>
      <c r="BZ123" s="6">
        <v>1.33112010022058</v>
      </c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</row>
    <row r="124" spans="1:10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4"/>
      <c r="AM124" s="4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4"/>
      <c r="AZ124" s="4"/>
      <c r="BA124" s="6" t="s">
        <v>24</v>
      </c>
      <c r="BB124" s="6">
        <v>122</v>
      </c>
      <c r="BC124" s="6" t="s">
        <v>24</v>
      </c>
      <c r="BD124" s="6">
        <v>340</v>
      </c>
      <c r="BE124" s="6" t="s">
        <v>25</v>
      </c>
      <c r="BF124" s="6">
        <v>625</v>
      </c>
      <c r="BG124" s="6" t="s">
        <v>26</v>
      </c>
      <c r="BH124" s="6">
        <v>3456</v>
      </c>
      <c r="BI124" s="6">
        <v>-5.848373542065e-7</v>
      </c>
      <c r="BJ124" s="6">
        <v>-7.95199384038942e-7</v>
      </c>
      <c r="BK124" s="6">
        <v>1.46727371688346</v>
      </c>
      <c r="BL124" s="4"/>
      <c r="BM124" s="4">
        <f t="shared" si="4"/>
        <v>588.12</v>
      </c>
      <c r="BN124" s="15">
        <f t="shared" si="5"/>
        <v>466.12</v>
      </c>
      <c r="BO124" s="6"/>
      <c r="BP124" s="6" t="s">
        <v>24</v>
      </c>
      <c r="BQ124" s="6">
        <v>122</v>
      </c>
      <c r="BR124" s="6" t="s">
        <v>24</v>
      </c>
      <c r="BS124" s="6">
        <v>340</v>
      </c>
      <c r="BT124" s="6" t="s">
        <v>25</v>
      </c>
      <c r="BU124" s="6">
        <v>797</v>
      </c>
      <c r="BV124" s="6" t="s">
        <v>26</v>
      </c>
      <c r="BW124" s="6">
        <v>4488</v>
      </c>
      <c r="BX124" s="6">
        <v>-3.93205817734043e-7</v>
      </c>
      <c r="BY124" s="6">
        <v>-4.5624740500459e-7</v>
      </c>
      <c r="BZ124" s="6">
        <v>1.31568124418207</v>
      </c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</row>
    <row r="125" spans="1:10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4"/>
      <c r="AM125" s="4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4"/>
      <c r="AZ125" s="4"/>
      <c r="BA125" s="6" t="s">
        <v>24</v>
      </c>
      <c r="BB125" s="6">
        <v>122</v>
      </c>
      <c r="BC125" s="6" t="s">
        <v>24</v>
      </c>
      <c r="BD125" s="6">
        <v>340</v>
      </c>
      <c r="BE125" s="6" t="s">
        <v>25</v>
      </c>
      <c r="BF125" s="6">
        <v>676</v>
      </c>
      <c r="BG125" s="6" t="s">
        <v>26</v>
      </c>
      <c r="BH125" s="6">
        <v>3750</v>
      </c>
      <c r="BI125" s="6">
        <v>-5.09030553875869e-7</v>
      </c>
      <c r="BJ125" s="6">
        <v>-6.87927305197299e-7</v>
      </c>
      <c r="BK125" s="6">
        <v>1.43419313382494</v>
      </c>
      <c r="BL125" s="4"/>
      <c r="BM125" s="4">
        <f t="shared" si="4"/>
        <v>637.12</v>
      </c>
      <c r="BN125" s="15">
        <f t="shared" si="5"/>
        <v>515.12</v>
      </c>
      <c r="BO125" s="6"/>
      <c r="BP125" s="6" t="s">
        <v>24</v>
      </c>
      <c r="BQ125" s="6">
        <v>122</v>
      </c>
      <c r="BR125" s="6" t="s">
        <v>24</v>
      </c>
      <c r="BS125" s="6">
        <v>340</v>
      </c>
      <c r="BT125" s="6" t="s">
        <v>25</v>
      </c>
      <c r="BU125" s="6">
        <v>861</v>
      </c>
      <c r="BV125" s="6" t="s">
        <v>26</v>
      </c>
      <c r="BW125" s="6">
        <v>4860</v>
      </c>
      <c r="BX125" s="6">
        <v>-3.688563596135e-7</v>
      </c>
      <c r="BY125" s="6">
        <v>-4.39515481077718e-7</v>
      </c>
      <c r="BZ125" s="6">
        <v>1.31278404095485</v>
      </c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</row>
    <row r="126" spans="1:10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4"/>
      <c r="AM126" s="4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4"/>
      <c r="AZ126" s="4"/>
      <c r="BA126" s="6" t="s">
        <v>24</v>
      </c>
      <c r="BB126" s="6">
        <v>122</v>
      </c>
      <c r="BC126" s="6" t="s">
        <v>24</v>
      </c>
      <c r="BD126" s="6">
        <v>340</v>
      </c>
      <c r="BE126" s="6" t="s">
        <v>25</v>
      </c>
      <c r="BF126" s="6">
        <v>729</v>
      </c>
      <c r="BG126" s="6" t="s">
        <v>26</v>
      </c>
      <c r="BH126" s="6">
        <v>4056</v>
      </c>
      <c r="BI126" s="6">
        <v>-4.01858510069753e-7</v>
      </c>
      <c r="BJ126" s="6">
        <v>-5.69440646552705e-7</v>
      </c>
      <c r="BK126" s="6">
        <v>1.39928527031343</v>
      </c>
      <c r="BL126" s="4"/>
      <c r="BM126" s="4">
        <f t="shared" si="4"/>
        <v>688.08</v>
      </c>
      <c r="BN126" s="15">
        <f t="shared" si="5"/>
        <v>566.08</v>
      </c>
      <c r="BO126" s="6"/>
      <c r="BP126" s="6" t="s">
        <v>24</v>
      </c>
      <c r="BQ126" s="6">
        <v>122</v>
      </c>
      <c r="BR126" s="6" t="s">
        <v>24</v>
      </c>
      <c r="BS126" s="6">
        <v>340</v>
      </c>
      <c r="BT126" s="6" t="s">
        <v>25</v>
      </c>
      <c r="BU126" s="6">
        <v>927</v>
      </c>
      <c r="BV126" s="6" t="s">
        <v>26</v>
      </c>
      <c r="BW126" s="6">
        <v>5244</v>
      </c>
      <c r="BX126" s="6">
        <v>-3.19926171098334e-7</v>
      </c>
      <c r="BY126" s="6">
        <v>-3.8462788772746e-7</v>
      </c>
      <c r="BZ126" s="6">
        <v>1.28548607175028</v>
      </c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</row>
    <row r="127" spans="1:10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4"/>
      <c r="AM127" s="4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4"/>
      <c r="AZ127" s="4"/>
      <c r="BA127" s="6" t="s">
        <v>24</v>
      </c>
      <c r="BB127" s="6">
        <v>122</v>
      </c>
      <c r="BC127" s="6" t="s">
        <v>24</v>
      </c>
      <c r="BD127" s="6">
        <v>340</v>
      </c>
      <c r="BE127" s="6" t="s">
        <v>25</v>
      </c>
      <c r="BF127" s="6">
        <v>784</v>
      </c>
      <c r="BG127" s="6" t="s">
        <v>26</v>
      </c>
      <c r="BH127" s="6">
        <v>4374</v>
      </c>
      <c r="BI127" s="6">
        <v>-4.23297754914756e-7</v>
      </c>
      <c r="BJ127" s="6">
        <v>-5.47078995352408e-7</v>
      </c>
      <c r="BK127" s="6">
        <v>1.37566098777447</v>
      </c>
      <c r="BL127" s="4"/>
      <c r="BM127" s="4">
        <f t="shared" si="4"/>
        <v>744.855</v>
      </c>
      <c r="BN127" s="15">
        <f t="shared" si="5"/>
        <v>622.855</v>
      </c>
      <c r="BO127" s="6"/>
      <c r="BP127" s="6" t="s">
        <v>24</v>
      </c>
      <c r="BQ127" s="6">
        <v>122</v>
      </c>
      <c r="BR127" s="6" t="s">
        <v>24</v>
      </c>
      <c r="BS127" s="6">
        <v>340</v>
      </c>
      <c r="BT127" s="6" t="s">
        <v>25</v>
      </c>
      <c r="BU127" s="6">
        <v>977</v>
      </c>
      <c r="BV127" s="6" t="s">
        <v>26</v>
      </c>
      <c r="BW127" s="6">
        <v>5532</v>
      </c>
      <c r="BX127" s="6">
        <v>-3.35750867841089e-7</v>
      </c>
      <c r="BY127" s="6">
        <v>-3.92605069819411e-7</v>
      </c>
      <c r="BZ127" s="6">
        <v>1.28476562907428</v>
      </c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</row>
    <row r="128" spans="1:10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4"/>
      <c r="AM128" s="4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4"/>
      <c r="AZ128" s="4"/>
      <c r="BA128" s="6" t="s">
        <v>24</v>
      </c>
      <c r="BB128" s="6">
        <v>122</v>
      </c>
      <c r="BC128" s="6" t="s">
        <v>24</v>
      </c>
      <c r="BD128" s="6">
        <v>340</v>
      </c>
      <c r="BE128" s="6" t="s">
        <v>25</v>
      </c>
      <c r="BF128" s="6">
        <v>841</v>
      </c>
      <c r="BG128" s="6" t="s">
        <v>26</v>
      </c>
      <c r="BH128" s="6">
        <v>4704</v>
      </c>
      <c r="BI128" s="6">
        <v>-3.37773269122687e-7</v>
      </c>
      <c r="BJ128" s="6">
        <v>-4.51623367905044e-7</v>
      </c>
      <c r="BK128" s="6">
        <v>1.33893409321021</v>
      </c>
      <c r="BL128" s="4"/>
      <c r="BM128" s="4">
        <f t="shared" si="4"/>
        <v>799.875</v>
      </c>
      <c r="BN128" s="15">
        <f t="shared" si="5"/>
        <v>677.875</v>
      </c>
      <c r="BO128" s="6"/>
      <c r="BP128" s="6" t="s">
        <v>24</v>
      </c>
      <c r="BQ128" s="6">
        <v>122</v>
      </c>
      <c r="BR128" s="6" t="s">
        <v>24</v>
      </c>
      <c r="BS128" s="6">
        <v>340</v>
      </c>
      <c r="BT128" s="6" t="s">
        <v>25</v>
      </c>
      <c r="BU128" s="6">
        <v>1034</v>
      </c>
      <c r="BV128" s="6" t="s">
        <v>26</v>
      </c>
      <c r="BW128" s="6">
        <v>5862</v>
      </c>
      <c r="BX128" s="6">
        <v>-3.40570876754472e-7</v>
      </c>
      <c r="BY128" s="6">
        <v>-3.96325168620035e-7</v>
      </c>
      <c r="BZ128" s="6">
        <v>1.28577195718256</v>
      </c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</row>
    <row r="129" spans="1:10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4"/>
      <c r="AM129" s="4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4"/>
      <c r="AZ129" s="4"/>
      <c r="BA129" s="6" t="s">
        <v>24</v>
      </c>
      <c r="BB129" s="6">
        <v>122</v>
      </c>
      <c r="BC129" s="6" t="s">
        <v>24</v>
      </c>
      <c r="BD129" s="6">
        <v>340</v>
      </c>
      <c r="BE129" s="6" t="s">
        <v>25</v>
      </c>
      <c r="BF129" s="6">
        <v>900</v>
      </c>
      <c r="BG129" s="6" t="s">
        <v>26</v>
      </c>
      <c r="BH129" s="6">
        <v>5046</v>
      </c>
      <c r="BI129" s="6">
        <v>-4.06845092881346e-7</v>
      </c>
      <c r="BJ129" s="6">
        <v>-4.86354980006721e-7</v>
      </c>
      <c r="BK129" s="6">
        <v>1.33592086600469</v>
      </c>
      <c r="BL129" s="4"/>
      <c r="BM129" s="4">
        <f t="shared" si="4"/>
        <v>856.855</v>
      </c>
      <c r="BN129" s="15">
        <f t="shared" si="5"/>
        <v>734.855</v>
      </c>
      <c r="BO129" s="6"/>
      <c r="BP129" s="6" t="s">
        <v>24</v>
      </c>
      <c r="BQ129" s="6">
        <v>122</v>
      </c>
      <c r="BR129" s="6" t="s">
        <v>24</v>
      </c>
      <c r="BS129" s="6">
        <v>340</v>
      </c>
      <c r="BT129" s="6" t="s">
        <v>25</v>
      </c>
      <c r="BU129" s="6">
        <v>1085</v>
      </c>
      <c r="BV129" s="6" t="s">
        <v>26</v>
      </c>
      <c r="BW129" s="6">
        <v>6156</v>
      </c>
      <c r="BX129" s="6">
        <v>-3.6412645500225e-7</v>
      </c>
      <c r="BY129" s="6">
        <v>-4.1473704215609e-7</v>
      </c>
      <c r="BZ129" s="6">
        <v>1.29130879805987</v>
      </c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</row>
    <row r="130" spans="1:10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4"/>
      <c r="AM130" s="4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4"/>
      <c r="AZ130" s="4"/>
      <c r="BA130" s="6" t="s">
        <v>24</v>
      </c>
      <c r="BB130" s="6">
        <v>122</v>
      </c>
      <c r="BC130" s="6" t="s">
        <v>24</v>
      </c>
      <c r="BD130" s="6">
        <v>340</v>
      </c>
      <c r="BE130" s="6" t="s">
        <v>25</v>
      </c>
      <c r="BF130" s="6">
        <v>961</v>
      </c>
      <c r="BG130" s="6" t="s">
        <v>26</v>
      </c>
      <c r="BH130" s="6">
        <v>5400</v>
      </c>
      <c r="BI130" s="6">
        <v>-3.44750911314765e-7</v>
      </c>
      <c r="BJ130" s="6">
        <v>-4.18384866806347e-7</v>
      </c>
      <c r="BK130" s="6">
        <v>1.30605276269314</v>
      </c>
      <c r="BL130" s="4"/>
      <c r="BM130" s="4">
        <f t="shared" si="4"/>
        <v>915.795</v>
      </c>
      <c r="BN130" s="15">
        <f t="shared" si="5"/>
        <v>793.795</v>
      </c>
      <c r="BO130" s="6"/>
      <c r="BP130" s="6" t="s">
        <v>24</v>
      </c>
      <c r="BQ130" s="6">
        <v>122</v>
      </c>
      <c r="BR130" s="6" t="s">
        <v>24</v>
      </c>
      <c r="BS130" s="6">
        <v>340</v>
      </c>
      <c r="BT130" s="6" t="s">
        <v>25</v>
      </c>
      <c r="BU130" s="6">
        <v>1177</v>
      </c>
      <c r="BV130" s="6" t="s">
        <v>26</v>
      </c>
      <c r="BW130" s="6">
        <v>6696</v>
      </c>
      <c r="BX130" s="6">
        <v>-3.3532116940992e-7</v>
      </c>
      <c r="BY130" s="6">
        <v>-3.83482628994793e-7</v>
      </c>
      <c r="BZ130" s="6">
        <v>1.27524140136682</v>
      </c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</row>
    <row r="131" spans="1:10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4"/>
      <c r="AM131" s="4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4"/>
      <c r="AZ131" s="4"/>
      <c r="BA131" s="6" t="s">
        <v>24</v>
      </c>
      <c r="BB131" s="6">
        <v>122</v>
      </c>
      <c r="BC131" s="6" t="s">
        <v>24</v>
      </c>
      <c r="BD131" s="6">
        <v>340</v>
      </c>
      <c r="BE131" s="6" t="s">
        <v>25</v>
      </c>
      <c r="BF131" s="6">
        <v>1024</v>
      </c>
      <c r="BG131" s="6" t="s">
        <v>26</v>
      </c>
      <c r="BH131" s="6">
        <v>5766</v>
      </c>
      <c r="BI131" s="6">
        <v>-3.50420177934317e-7</v>
      </c>
      <c r="BJ131" s="6">
        <v>-4.22057695654855e-7</v>
      </c>
      <c r="BK131" s="6">
        <v>1.30614337917093</v>
      </c>
      <c r="BL131" s="4"/>
      <c r="BM131" s="4">
        <f t="shared" si="4"/>
        <v>976.695</v>
      </c>
      <c r="BN131" s="15">
        <f t="shared" si="5"/>
        <v>854.695</v>
      </c>
      <c r="BO131" s="6"/>
      <c r="BP131" s="6" t="s">
        <v>24</v>
      </c>
      <c r="BQ131" s="6">
        <v>122</v>
      </c>
      <c r="BR131" s="6" t="s">
        <v>24</v>
      </c>
      <c r="BS131" s="6">
        <v>340</v>
      </c>
      <c r="BT131" s="6" t="s">
        <v>25</v>
      </c>
      <c r="BU131" s="6">
        <v>1243</v>
      </c>
      <c r="BV131" s="6" t="s">
        <v>26</v>
      </c>
      <c r="BW131" s="6">
        <v>7080</v>
      </c>
      <c r="BX131" s="6">
        <v>-3.28115145667485e-7</v>
      </c>
      <c r="BY131" s="6">
        <v>-3.73743947526604e-7</v>
      </c>
      <c r="BZ131" s="6">
        <v>1.26912262950525</v>
      </c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</row>
    <row r="132" spans="1:10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4"/>
      <c r="AM132" s="4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4"/>
      <c r="AZ132" s="4"/>
      <c r="BA132" s="6" t="s">
        <v>24</v>
      </c>
      <c r="BB132" s="6">
        <v>122</v>
      </c>
      <c r="BC132" s="6" t="s">
        <v>24</v>
      </c>
      <c r="BD132" s="6">
        <v>340</v>
      </c>
      <c r="BE132" s="6" t="s">
        <v>25</v>
      </c>
      <c r="BF132" s="6">
        <v>1089</v>
      </c>
      <c r="BG132" s="6" t="s">
        <v>26</v>
      </c>
      <c r="BH132" s="6">
        <v>6144</v>
      </c>
      <c r="BI132" s="6">
        <v>-3.24687553841439e-7</v>
      </c>
      <c r="BJ132" s="6">
        <v>-3.89365806998319e-7</v>
      </c>
      <c r="BK132" s="6">
        <v>1.28828639090851</v>
      </c>
      <c r="BL132" s="4"/>
      <c r="BM132" s="4">
        <f t="shared" si="4"/>
        <v>1039.555</v>
      </c>
      <c r="BN132" s="15">
        <f t="shared" si="5"/>
        <v>917.555</v>
      </c>
      <c r="BO132" s="6"/>
      <c r="BP132" s="6" t="s">
        <v>24</v>
      </c>
      <c r="BQ132" s="6">
        <v>122</v>
      </c>
      <c r="BR132" s="6" t="s">
        <v>24</v>
      </c>
      <c r="BS132" s="6">
        <v>340</v>
      </c>
      <c r="BT132" s="6" t="s">
        <v>25</v>
      </c>
      <c r="BU132" s="6">
        <v>1325</v>
      </c>
      <c r="BV132" s="6" t="s">
        <v>26</v>
      </c>
      <c r="BW132" s="6">
        <v>7560</v>
      </c>
      <c r="BX132" s="6">
        <v>-3.15094016074009e-7</v>
      </c>
      <c r="BY132" s="6">
        <v>-3.64621001259771e-7</v>
      </c>
      <c r="BZ132" s="6">
        <v>1.26684493967528</v>
      </c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</row>
    <row r="133" ht="23.25" spans="1:10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4"/>
      <c r="Z133" s="4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4"/>
      <c r="AM133" s="4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4"/>
      <c r="AZ133" s="4"/>
      <c r="BA133" s="10" t="s">
        <v>30</v>
      </c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4"/>
      <c r="BM133" s="4"/>
      <c r="BN133" s="15"/>
      <c r="BO133" s="6"/>
      <c r="BP133" s="10" t="s">
        <v>30</v>
      </c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</row>
    <row r="134" ht="23.25" spans="1:10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  <c r="Z134" s="4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4"/>
      <c r="AM134" s="4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4"/>
      <c r="AZ134" s="4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4"/>
      <c r="BM134" s="4"/>
      <c r="BN134" s="15"/>
      <c r="BO134" s="3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</row>
    <row r="135" ht="23.25" spans="1:10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6" t="s">
        <v>12</v>
      </c>
      <c r="BB135" s="6" t="s">
        <v>13</v>
      </c>
      <c r="BC135" s="6" t="s">
        <v>14</v>
      </c>
      <c r="BD135" s="6" t="s">
        <v>15</v>
      </c>
      <c r="BE135" s="6" t="s">
        <v>16</v>
      </c>
      <c r="BF135" s="6" t="s">
        <v>17</v>
      </c>
      <c r="BG135" s="6" t="s">
        <v>18</v>
      </c>
      <c r="BH135" s="6" t="s">
        <v>19</v>
      </c>
      <c r="BI135" s="6" t="s">
        <v>20</v>
      </c>
      <c r="BJ135" s="6" t="s">
        <v>21</v>
      </c>
      <c r="BK135" s="6" t="s">
        <v>22</v>
      </c>
      <c r="BL135" s="4"/>
      <c r="BM135" s="4"/>
      <c r="BN135" s="15"/>
      <c r="BO135" s="3"/>
      <c r="BP135" s="6" t="s">
        <v>12</v>
      </c>
      <c r="BQ135" s="6" t="s">
        <v>13</v>
      </c>
      <c r="BR135" s="6" t="s">
        <v>14</v>
      </c>
      <c r="BS135" s="6" t="s">
        <v>15</v>
      </c>
      <c r="BT135" s="6" t="s">
        <v>16</v>
      </c>
      <c r="BU135" s="6" t="s">
        <v>17</v>
      </c>
      <c r="BV135" s="6" t="s">
        <v>18</v>
      </c>
      <c r="BW135" s="6" t="s">
        <v>19</v>
      </c>
      <c r="BX135" s="6" t="s">
        <v>20</v>
      </c>
      <c r="BY135" s="6" t="s">
        <v>21</v>
      </c>
      <c r="BZ135" s="6" t="s">
        <v>22</v>
      </c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</row>
    <row r="136" spans="1:10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4"/>
      <c r="AM136" s="4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4"/>
      <c r="AZ136" s="4"/>
      <c r="BA136" s="6" t="s">
        <v>24</v>
      </c>
      <c r="BB136" s="6">
        <v>165</v>
      </c>
      <c r="BC136" s="6" t="s">
        <v>24</v>
      </c>
      <c r="BD136" s="6">
        <v>340</v>
      </c>
      <c r="BE136" s="6" t="s">
        <v>25</v>
      </c>
      <c r="BF136" s="6">
        <v>121</v>
      </c>
      <c r="BG136" s="6" t="s">
        <v>26</v>
      </c>
      <c r="BH136" s="6">
        <v>600</v>
      </c>
      <c r="BI136" s="6">
        <v>-0.321477236273905</v>
      </c>
      <c r="BJ136" s="6">
        <v>-1.10427315442117</v>
      </c>
      <c r="BK136" s="6">
        <v>-0.364190451061675</v>
      </c>
      <c r="BL136" s="4"/>
      <c r="BM136" s="4">
        <f t="shared" si="4"/>
        <v>105</v>
      </c>
      <c r="BN136" s="15">
        <f t="shared" si="5"/>
        <v>60</v>
      </c>
      <c r="BO136" s="4"/>
      <c r="BP136" s="6" t="s">
        <v>24</v>
      </c>
      <c r="BQ136" s="6">
        <v>165</v>
      </c>
      <c r="BR136" s="6" t="s">
        <v>24</v>
      </c>
      <c r="BS136" s="6">
        <v>340</v>
      </c>
      <c r="BT136" s="6" t="s">
        <v>25</v>
      </c>
      <c r="BU136" s="6">
        <v>165</v>
      </c>
      <c r="BV136" s="6" t="s">
        <v>26</v>
      </c>
      <c r="BW136" s="6">
        <v>864</v>
      </c>
      <c r="BX136" s="6">
        <v>-2.00536923271861</v>
      </c>
      <c r="BY136" s="6">
        <v>-1.831485767481</v>
      </c>
      <c r="BZ136" s="6">
        <v>-0.817180241302333</v>
      </c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</row>
    <row r="137" spans="1:10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4"/>
      <c r="AM137" s="4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4"/>
      <c r="AZ137" s="4"/>
      <c r="BA137" s="6" t="s">
        <v>24</v>
      </c>
      <c r="BB137" s="6">
        <v>165</v>
      </c>
      <c r="BC137" s="6" t="s">
        <v>24</v>
      </c>
      <c r="BD137" s="6">
        <v>340</v>
      </c>
      <c r="BE137" s="6" t="s">
        <v>25</v>
      </c>
      <c r="BF137" s="6">
        <v>144</v>
      </c>
      <c r="BG137" s="6" t="s">
        <v>26</v>
      </c>
      <c r="BH137" s="6">
        <v>726</v>
      </c>
      <c r="BI137" s="6">
        <v>-1.51987180598868</v>
      </c>
      <c r="BJ137" s="6">
        <v>-1.61304856394731</v>
      </c>
      <c r="BK137" s="6">
        <v>-0.686794025072475</v>
      </c>
      <c r="BL137" s="4"/>
      <c r="BM137" s="4">
        <f t="shared" si="4"/>
        <v>126.28</v>
      </c>
      <c r="BN137" s="15">
        <f t="shared" si="5"/>
        <v>38.72</v>
      </c>
      <c r="BO137" s="6"/>
      <c r="BP137" s="6" t="s">
        <v>24</v>
      </c>
      <c r="BQ137" s="6">
        <v>165</v>
      </c>
      <c r="BR137" s="6" t="s">
        <v>24</v>
      </c>
      <c r="BS137" s="6">
        <v>340</v>
      </c>
      <c r="BT137" s="6" t="s">
        <v>25</v>
      </c>
      <c r="BU137" s="6">
        <v>174</v>
      </c>
      <c r="BV137" s="6" t="s">
        <v>26</v>
      </c>
      <c r="BW137" s="6">
        <v>906</v>
      </c>
      <c r="BX137" s="6">
        <v>-2.10171822072529</v>
      </c>
      <c r="BY137" s="6">
        <v>-1.7383293850182</v>
      </c>
      <c r="BZ137" s="6">
        <v>-0.699121411308084</v>
      </c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</row>
    <row r="138" spans="1:10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4"/>
      <c r="AM138" s="4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4"/>
      <c r="AZ138" s="4"/>
      <c r="BA138" s="6" t="s">
        <v>24</v>
      </c>
      <c r="BB138" s="6">
        <v>165</v>
      </c>
      <c r="BC138" s="6" t="s">
        <v>24</v>
      </c>
      <c r="BD138" s="6">
        <v>340</v>
      </c>
      <c r="BE138" s="6" t="s">
        <v>25</v>
      </c>
      <c r="BF138" s="6">
        <v>169</v>
      </c>
      <c r="BG138" s="6" t="s">
        <v>26</v>
      </c>
      <c r="BH138" s="6">
        <v>864</v>
      </c>
      <c r="BI138" s="6">
        <v>-1.98059522094266</v>
      </c>
      <c r="BJ138" s="6">
        <v>-1.76172958765247</v>
      </c>
      <c r="BK138" s="6">
        <v>-0.792524188346963</v>
      </c>
      <c r="BL138" s="4"/>
      <c r="BM138" s="4">
        <f t="shared" si="4"/>
        <v>149.52</v>
      </c>
      <c r="BN138" s="15">
        <f t="shared" si="5"/>
        <v>15.48</v>
      </c>
      <c r="BO138" s="6"/>
      <c r="BP138" s="6" t="s">
        <v>24</v>
      </c>
      <c r="BQ138" s="6">
        <v>165</v>
      </c>
      <c r="BR138" s="6" t="s">
        <v>24</v>
      </c>
      <c r="BS138" s="6">
        <v>340</v>
      </c>
      <c r="BT138" s="6" t="s">
        <v>25</v>
      </c>
      <c r="BU138" s="6">
        <v>209</v>
      </c>
      <c r="BV138" s="6" t="s">
        <v>26</v>
      </c>
      <c r="BW138" s="6">
        <v>1104</v>
      </c>
      <c r="BX138" s="6">
        <v>-2.02641452911858</v>
      </c>
      <c r="BY138" s="6">
        <v>-1.66041465252302</v>
      </c>
      <c r="BZ138" s="6">
        <v>-0.418603329711555</v>
      </c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</row>
    <row r="139" spans="1:10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4"/>
      <c r="AM139" s="4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4"/>
      <c r="AZ139" s="4"/>
      <c r="BA139" s="11" t="s">
        <v>24</v>
      </c>
      <c r="BB139" s="11">
        <v>165</v>
      </c>
      <c r="BC139" s="11" t="s">
        <v>24</v>
      </c>
      <c r="BD139" s="11">
        <v>340</v>
      </c>
      <c r="BE139" s="11" t="s">
        <v>25</v>
      </c>
      <c r="BF139" s="11">
        <v>196</v>
      </c>
      <c r="BG139" s="11" t="s">
        <v>26</v>
      </c>
      <c r="BH139" s="11">
        <v>1014</v>
      </c>
      <c r="BI139" s="11">
        <v>-2.08547479345485</v>
      </c>
      <c r="BJ139" s="11">
        <v>-1.65502160265844</v>
      </c>
      <c r="BK139" s="11">
        <v>-0.515321550078421</v>
      </c>
      <c r="BL139" s="12"/>
      <c r="BM139" s="12">
        <f t="shared" si="4"/>
        <v>176.595</v>
      </c>
      <c r="BN139" s="15">
        <f t="shared" si="5"/>
        <v>11.595</v>
      </c>
      <c r="BO139" s="6"/>
      <c r="BP139" s="6" t="s">
        <v>24</v>
      </c>
      <c r="BQ139" s="6">
        <v>165</v>
      </c>
      <c r="BR139" s="6" t="s">
        <v>24</v>
      </c>
      <c r="BS139" s="6">
        <v>340</v>
      </c>
      <c r="BT139" s="6" t="s">
        <v>25</v>
      </c>
      <c r="BU139" s="6">
        <v>238</v>
      </c>
      <c r="BV139" s="6" t="s">
        <v>26</v>
      </c>
      <c r="BW139" s="6">
        <v>1266</v>
      </c>
      <c r="BX139" s="6">
        <v>-1.77960666753091</v>
      </c>
      <c r="BY139" s="6">
        <v>-1.47721577123462</v>
      </c>
      <c r="BZ139" s="6">
        <v>-0.0992407661587315</v>
      </c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</row>
    <row r="140" spans="1:10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4"/>
      <c r="AM140" s="4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4"/>
      <c r="AZ140" s="4"/>
      <c r="BA140" s="6" t="s">
        <v>24</v>
      </c>
      <c r="BB140" s="6">
        <v>165</v>
      </c>
      <c r="BC140" s="6" t="s">
        <v>24</v>
      </c>
      <c r="BD140" s="6">
        <v>340</v>
      </c>
      <c r="BE140" s="6" t="s">
        <v>25</v>
      </c>
      <c r="BF140" s="6">
        <v>225</v>
      </c>
      <c r="BG140" s="6" t="s">
        <v>26</v>
      </c>
      <c r="BH140" s="6">
        <v>1176</v>
      </c>
      <c r="BI140" s="6">
        <v>-1.7216845919363</v>
      </c>
      <c r="BJ140" s="6">
        <v>-1.39776553492932</v>
      </c>
      <c r="BK140" s="6">
        <v>-0.0985049957580276</v>
      </c>
      <c r="BL140" s="4"/>
      <c r="BM140" s="4">
        <f t="shared" si="4"/>
        <v>203.895</v>
      </c>
      <c r="BN140" s="15">
        <f t="shared" si="5"/>
        <v>38.8950000000001</v>
      </c>
      <c r="BO140" s="6"/>
      <c r="BP140" s="6" t="s">
        <v>24</v>
      </c>
      <c r="BQ140" s="6">
        <v>165</v>
      </c>
      <c r="BR140" s="6" t="s">
        <v>24</v>
      </c>
      <c r="BS140" s="6">
        <v>340</v>
      </c>
      <c r="BT140" s="6" t="s">
        <v>25</v>
      </c>
      <c r="BU140" s="6">
        <v>256</v>
      </c>
      <c r="BV140" s="6" t="s">
        <v>26</v>
      </c>
      <c r="BW140" s="6">
        <v>1362</v>
      </c>
      <c r="BX140" s="6">
        <v>-1.77932739519821</v>
      </c>
      <c r="BY140" s="6">
        <v>-1.48053264591432</v>
      </c>
      <c r="BZ140" s="6">
        <v>-0.12288516709911</v>
      </c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</row>
    <row r="141" spans="1:10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4"/>
      <c r="AM141" s="4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4"/>
      <c r="AZ141" s="4"/>
      <c r="BA141" s="6" t="s">
        <v>24</v>
      </c>
      <c r="BB141" s="6">
        <v>165</v>
      </c>
      <c r="BC141" s="6" t="s">
        <v>24</v>
      </c>
      <c r="BD141" s="6">
        <v>340</v>
      </c>
      <c r="BE141" s="6" t="s">
        <v>25</v>
      </c>
      <c r="BF141" s="6">
        <v>256</v>
      </c>
      <c r="BG141" s="6" t="s">
        <v>26</v>
      </c>
      <c r="BH141" s="6">
        <v>1350</v>
      </c>
      <c r="BI141" s="6">
        <v>-1.50032590583915</v>
      </c>
      <c r="BJ141" s="6">
        <v>-1.27016803555895</v>
      </c>
      <c r="BK141" s="6">
        <v>0.115047545562859</v>
      </c>
      <c r="BL141" s="4"/>
      <c r="BM141" s="4">
        <f t="shared" si="4"/>
        <v>233.155</v>
      </c>
      <c r="BN141" s="15">
        <f t="shared" si="5"/>
        <v>68.155</v>
      </c>
      <c r="BO141" s="6"/>
      <c r="BP141" s="6" t="s">
        <v>24</v>
      </c>
      <c r="BQ141" s="6">
        <v>165</v>
      </c>
      <c r="BR141" s="6" t="s">
        <v>24</v>
      </c>
      <c r="BS141" s="6">
        <v>340</v>
      </c>
      <c r="BT141" s="6" t="s">
        <v>25</v>
      </c>
      <c r="BU141" s="6">
        <v>297</v>
      </c>
      <c r="BV141" s="6" t="s">
        <v>26</v>
      </c>
      <c r="BW141" s="6">
        <v>1596</v>
      </c>
      <c r="BX141" s="6">
        <v>-1.22201150874124</v>
      </c>
      <c r="BY141" s="6">
        <v>-1.09437882628353</v>
      </c>
      <c r="BZ141" s="6">
        <v>0.367924663586089</v>
      </c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</row>
    <row r="142" spans="1:10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4"/>
      <c r="AM142" s="4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4"/>
      <c r="AZ142" s="4"/>
      <c r="BA142" s="6" t="s">
        <v>24</v>
      </c>
      <c r="BB142" s="6">
        <v>165</v>
      </c>
      <c r="BC142" s="6" t="s">
        <v>24</v>
      </c>
      <c r="BD142" s="6">
        <v>340</v>
      </c>
      <c r="BE142" s="6" t="s">
        <v>25</v>
      </c>
      <c r="BF142" s="6">
        <v>289</v>
      </c>
      <c r="BG142" s="6" t="s">
        <v>26</v>
      </c>
      <c r="BH142" s="6">
        <v>1536</v>
      </c>
      <c r="BI142" s="6">
        <v>-1.19405829388054</v>
      </c>
      <c r="BJ142" s="6">
        <v>-1.05018763224519</v>
      </c>
      <c r="BK142" s="6">
        <v>0.401400573598568</v>
      </c>
      <c r="BL142" s="4"/>
      <c r="BM142" s="4">
        <f t="shared" ref="BM142:BM205" si="6">(FLOOR(((SQRT(1+8*BF142)-3))/2,0.1)*(FLOOR(((SQRT(1+8*BF142)-3))/2,0.1)+1))/2</f>
        <v>264.375</v>
      </c>
      <c r="BN142" s="15">
        <f t="shared" si="5"/>
        <v>99.375</v>
      </c>
      <c r="BO142" s="6"/>
      <c r="BP142" s="6" t="s">
        <v>24</v>
      </c>
      <c r="BQ142" s="6">
        <v>165</v>
      </c>
      <c r="BR142" s="6" t="s">
        <v>24</v>
      </c>
      <c r="BS142" s="6">
        <v>340</v>
      </c>
      <c r="BT142" s="6" t="s">
        <v>25</v>
      </c>
      <c r="BU142" s="6">
        <v>340</v>
      </c>
      <c r="BV142" s="6" t="s">
        <v>26</v>
      </c>
      <c r="BW142" s="6">
        <v>1842</v>
      </c>
      <c r="BX142" s="6">
        <v>-1.36479212556877</v>
      </c>
      <c r="BY142" s="6">
        <v>-1.28424418794945</v>
      </c>
      <c r="BZ142" s="6">
        <v>0.0059232035861144</v>
      </c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</row>
    <row r="143" spans="1:10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4"/>
      <c r="AM143" s="4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4"/>
      <c r="AZ143" s="4"/>
      <c r="BA143" s="6" t="s">
        <v>24</v>
      </c>
      <c r="BB143" s="6">
        <v>165</v>
      </c>
      <c r="BC143" s="6" t="s">
        <v>24</v>
      </c>
      <c r="BD143" s="6">
        <v>340</v>
      </c>
      <c r="BE143" s="6" t="s">
        <v>25</v>
      </c>
      <c r="BF143" s="6">
        <v>324</v>
      </c>
      <c r="BG143" s="6" t="s">
        <v>26</v>
      </c>
      <c r="BH143" s="6">
        <v>1734</v>
      </c>
      <c r="BI143" s="6">
        <v>-0.872171600810003</v>
      </c>
      <c r="BJ143" s="6">
        <v>-0.801666154085005</v>
      </c>
      <c r="BK143" s="6">
        <v>0.78869201256919</v>
      </c>
      <c r="BL143" s="4"/>
      <c r="BM143" s="4">
        <f t="shared" si="6"/>
        <v>297.555</v>
      </c>
      <c r="BN143" s="15">
        <f t="shared" si="5"/>
        <v>132.555</v>
      </c>
      <c r="BO143" s="6"/>
      <c r="BP143" s="6" t="s">
        <v>24</v>
      </c>
      <c r="BQ143" s="6">
        <v>165</v>
      </c>
      <c r="BR143" s="6" t="s">
        <v>24</v>
      </c>
      <c r="BS143" s="6">
        <v>340</v>
      </c>
      <c r="BT143" s="6" t="s">
        <v>25</v>
      </c>
      <c r="BU143" s="6">
        <v>380</v>
      </c>
      <c r="BV143" s="6" t="s">
        <v>26</v>
      </c>
      <c r="BW143" s="6">
        <v>2070</v>
      </c>
      <c r="BX143" s="6">
        <v>-0.145683280233245</v>
      </c>
      <c r="BY143" s="6">
        <v>-0.133618555821678</v>
      </c>
      <c r="BZ143" s="6">
        <v>1.63704407954773</v>
      </c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</row>
    <row r="144" spans="1:10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4"/>
      <c r="AM144" s="4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4"/>
      <c r="AZ144" s="4"/>
      <c r="BA144" s="6" t="s">
        <v>24</v>
      </c>
      <c r="BB144" s="6">
        <v>165</v>
      </c>
      <c r="BC144" s="6" t="s">
        <v>24</v>
      </c>
      <c r="BD144" s="6">
        <v>340</v>
      </c>
      <c r="BE144" s="6" t="s">
        <v>25</v>
      </c>
      <c r="BF144" s="6">
        <v>361</v>
      </c>
      <c r="BG144" s="6" t="s">
        <v>26</v>
      </c>
      <c r="BH144" s="6">
        <v>1944</v>
      </c>
      <c r="BI144" s="6">
        <v>-0.441159788913024</v>
      </c>
      <c r="BJ144" s="6">
        <v>-0.392333933750854</v>
      </c>
      <c r="BK144" s="6">
        <v>1.5171589363892</v>
      </c>
      <c r="BL144" s="4"/>
      <c r="BM144" s="4">
        <f t="shared" si="6"/>
        <v>332.695</v>
      </c>
      <c r="BN144" s="15">
        <f t="shared" si="5"/>
        <v>167.695</v>
      </c>
      <c r="BO144" s="6"/>
      <c r="BP144" s="6" t="s">
        <v>24</v>
      </c>
      <c r="BQ144" s="6">
        <v>165</v>
      </c>
      <c r="BR144" s="6" t="s">
        <v>24</v>
      </c>
      <c r="BS144" s="6">
        <v>340</v>
      </c>
      <c r="BT144" s="6" t="s">
        <v>25</v>
      </c>
      <c r="BU144" s="6">
        <v>435</v>
      </c>
      <c r="BV144" s="6" t="s">
        <v>26</v>
      </c>
      <c r="BW144" s="6">
        <v>2388</v>
      </c>
      <c r="BX144" s="6">
        <v>-1.13187049815716e-5</v>
      </c>
      <c r="BY144" s="6">
        <v>-1.22282734782852e-5</v>
      </c>
      <c r="BZ144" s="6">
        <v>2.02055912925801</v>
      </c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</row>
    <row r="145" spans="1:10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4"/>
      <c r="AM145" s="4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4"/>
      <c r="AZ145" s="4"/>
      <c r="BA145" s="6" t="s">
        <v>24</v>
      </c>
      <c r="BB145" s="6">
        <v>165</v>
      </c>
      <c r="BC145" s="6" t="s">
        <v>24</v>
      </c>
      <c r="BD145" s="6">
        <v>340</v>
      </c>
      <c r="BE145" s="6" t="s">
        <v>25</v>
      </c>
      <c r="BF145" s="6">
        <v>400</v>
      </c>
      <c r="BG145" s="6" t="s">
        <v>26</v>
      </c>
      <c r="BH145" s="6">
        <v>2166</v>
      </c>
      <c r="BI145" s="6">
        <v>-0.0632804242376344</v>
      </c>
      <c r="BJ145" s="6">
        <v>-0.0582004331837455</v>
      </c>
      <c r="BK145" s="6">
        <v>2.03248529812186</v>
      </c>
      <c r="BL145" s="4"/>
      <c r="BM145" s="4">
        <f t="shared" si="6"/>
        <v>369.795</v>
      </c>
      <c r="BN145" s="15">
        <f t="shared" si="5"/>
        <v>204.795</v>
      </c>
      <c r="BO145" s="6"/>
      <c r="BP145" s="6" t="s">
        <v>24</v>
      </c>
      <c r="BQ145" s="6">
        <v>165</v>
      </c>
      <c r="BR145" s="6" t="s">
        <v>24</v>
      </c>
      <c r="BS145" s="6">
        <v>340</v>
      </c>
      <c r="BT145" s="6" t="s">
        <v>25</v>
      </c>
      <c r="BU145" s="6">
        <v>485</v>
      </c>
      <c r="BV145" s="6" t="s">
        <v>26</v>
      </c>
      <c r="BW145" s="6">
        <v>2676</v>
      </c>
      <c r="BX145" s="6">
        <v>-5.12230047809978e-7</v>
      </c>
      <c r="BY145" s="6">
        <v>-1.26729240167162e-6</v>
      </c>
      <c r="BZ145" s="6">
        <v>1.63641542842195</v>
      </c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</row>
    <row r="146" spans="1:10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4"/>
      <c r="AM146" s="4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4"/>
      <c r="AZ146" s="4"/>
      <c r="BA146" s="6" t="s">
        <v>24</v>
      </c>
      <c r="BB146" s="6">
        <v>165</v>
      </c>
      <c r="BC146" s="6" t="s">
        <v>24</v>
      </c>
      <c r="BD146" s="6">
        <v>340</v>
      </c>
      <c r="BE146" s="6" t="s">
        <v>25</v>
      </c>
      <c r="BF146" s="6">
        <v>441</v>
      </c>
      <c r="BG146" s="6" t="s">
        <v>26</v>
      </c>
      <c r="BH146" s="6">
        <v>2400</v>
      </c>
      <c r="BI146" s="6">
        <v>5.42932793542901e-6</v>
      </c>
      <c r="BJ146" s="6">
        <v>-4.72555803054246e-6</v>
      </c>
      <c r="BK146" s="6">
        <v>2.07430867911255</v>
      </c>
      <c r="BL146" s="4"/>
      <c r="BM146" s="4">
        <f t="shared" si="6"/>
        <v>411.72</v>
      </c>
      <c r="BN146" s="15">
        <f t="shared" si="5"/>
        <v>246.72</v>
      </c>
      <c r="BO146" s="6"/>
      <c r="BP146" s="6" t="s">
        <v>24</v>
      </c>
      <c r="BQ146" s="6">
        <v>165</v>
      </c>
      <c r="BR146" s="6" t="s">
        <v>24</v>
      </c>
      <c r="BS146" s="6">
        <v>340</v>
      </c>
      <c r="BT146" s="6" t="s">
        <v>25</v>
      </c>
      <c r="BU146" s="6">
        <v>564</v>
      </c>
      <c r="BV146" s="6" t="s">
        <v>26</v>
      </c>
      <c r="BW146" s="6">
        <v>3138</v>
      </c>
      <c r="BX146" s="6">
        <v>-4.53755247237762e-7</v>
      </c>
      <c r="BY146" s="6">
        <v>-7.55425960189223e-7</v>
      </c>
      <c r="BZ146" s="6">
        <v>1.48394174019076</v>
      </c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</row>
    <row r="147" spans="1:10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4"/>
      <c r="AM147" s="4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4"/>
      <c r="AZ147" s="4"/>
      <c r="BA147" s="6" t="s">
        <v>24</v>
      </c>
      <c r="BB147" s="6">
        <v>165</v>
      </c>
      <c r="BC147" s="6" t="s">
        <v>24</v>
      </c>
      <c r="BD147" s="6">
        <v>340</v>
      </c>
      <c r="BE147" s="6" t="s">
        <v>25</v>
      </c>
      <c r="BF147" s="6">
        <v>484</v>
      </c>
      <c r="BG147" s="6" t="s">
        <v>26</v>
      </c>
      <c r="BH147" s="6">
        <v>2646</v>
      </c>
      <c r="BI147" s="6">
        <v>-2.47200236070138e-6</v>
      </c>
      <c r="BJ147" s="6">
        <v>-3.57111473392395e-6</v>
      </c>
      <c r="BK147" s="6">
        <v>1.80665869358042</v>
      </c>
      <c r="BL147" s="4"/>
      <c r="BM147" s="4">
        <f t="shared" si="6"/>
        <v>452.88</v>
      </c>
      <c r="BN147" s="15">
        <f t="shared" si="5"/>
        <v>287.88</v>
      </c>
      <c r="BO147" s="6"/>
      <c r="BP147" s="6" t="s">
        <v>24</v>
      </c>
      <c r="BQ147" s="6">
        <v>165</v>
      </c>
      <c r="BR147" s="6" t="s">
        <v>24</v>
      </c>
      <c r="BS147" s="6">
        <v>340</v>
      </c>
      <c r="BT147" s="6" t="s">
        <v>25</v>
      </c>
      <c r="BU147" s="6">
        <v>598</v>
      </c>
      <c r="BV147" s="6" t="s">
        <v>26</v>
      </c>
      <c r="BW147" s="6">
        <v>3330</v>
      </c>
      <c r="BX147" s="6">
        <v>-3.87659619631794e-7</v>
      </c>
      <c r="BY147" s="6">
        <v>-5.89988159054093e-7</v>
      </c>
      <c r="BZ147" s="6">
        <v>1.41716049905451</v>
      </c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</row>
    <row r="148" spans="1:10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4"/>
      <c r="AM148" s="4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4"/>
      <c r="AZ148" s="4"/>
      <c r="BA148" s="6" t="s">
        <v>24</v>
      </c>
      <c r="BB148" s="6">
        <v>165</v>
      </c>
      <c r="BC148" s="6" t="s">
        <v>24</v>
      </c>
      <c r="BD148" s="6">
        <v>340</v>
      </c>
      <c r="BE148" s="6" t="s">
        <v>25</v>
      </c>
      <c r="BF148" s="6">
        <v>529</v>
      </c>
      <c r="BG148" s="6" t="s">
        <v>26</v>
      </c>
      <c r="BH148" s="6">
        <v>2904</v>
      </c>
      <c r="BI148" s="6">
        <v>-7.26647136689828e-7</v>
      </c>
      <c r="BJ148" s="6">
        <v>-1.21336240177951e-6</v>
      </c>
      <c r="BK148" s="6">
        <v>1.58760037107038</v>
      </c>
      <c r="BL148" s="4"/>
      <c r="BM148" s="4">
        <f t="shared" si="6"/>
        <v>496</v>
      </c>
      <c r="BN148" s="15">
        <f t="shared" si="5"/>
        <v>331</v>
      </c>
      <c r="BO148" s="6"/>
      <c r="BP148" s="6" t="s">
        <v>24</v>
      </c>
      <c r="BQ148" s="6">
        <v>165</v>
      </c>
      <c r="BR148" s="6" t="s">
        <v>24</v>
      </c>
      <c r="BS148" s="6">
        <v>340</v>
      </c>
      <c r="BT148" s="6" t="s">
        <v>25</v>
      </c>
      <c r="BU148" s="6">
        <v>668</v>
      </c>
      <c r="BV148" s="6" t="s">
        <v>26</v>
      </c>
      <c r="BW148" s="6">
        <v>3738</v>
      </c>
      <c r="BX148" s="6">
        <v>-4.26807476091384e-7</v>
      </c>
      <c r="BY148" s="6">
        <v>-5.50878831572534e-7</v>
      </c>
      <c r="BZ148" s="6">
        <v>1.37871430922676</v>
      </c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</row>
    <row r="149" spans="1:10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4"/>
      <c r="AM149" s="4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4"/>
      <c r="AZ149" s="4"/>
      <c r="BA149" s="6" t="s">
        <v>24</v>
      </c>
      <c r="BB149" s="6">
        <v>165</v>
      </c>
      <c r="BC149" s="6" t="s">
        <v>24</v>
      </c>
      <c r="BD149" s="6">
        <v>340</v>
      </c>
      <c r="BE149" s="6" t="s">
        <v>25</v>
      </c>
      <c r="BF149" s="6">
        <v>576</v>
      </c>
      <c r="BG149" s="6" t="s">
        <v>26</v>
      </c>
      <c r="BH149" s="6">
        <v>3174</v>
      </c>
      <c r="BI149" s="6">
        <v>-8.4348011051204e-7</v>
      </c>
      <c r="BJ149" s="6">
        <v>-1.07402153740879e-6</v>
      </c>
      <c r="BK149" s="6">
        <v>1.5263120185637</v>
      </c>
      <c r="BL149" s="4"/>
      <c r="BM149" s="4">
        <f t="shared" si="6"/>
        <v>541.08</v>
      </c>
      <c r="BN149" s="15">
        <f t="shared" si="5"/>
        <v>376.08</v>
      </c>
      <c r="BO149" s="6"/>
      <c r="BP149" s="6" t="s">
        <v>24</v>
      </c>
      <c r="BQ149" s="6">
        <v>165</v>
      </c>
      <c r="BR149" s="6" t="s">
        <v>24</v>
      </c>
      <c r="BS149" s="6">
        <v>340</v>
      </c>
      <c r="BT149" s="6" t="s">
        <v>25</v>
      </c>
      <c r="BU149" s="6">
        <v>741</v>
      </c>
      <c r="BV149" s="6" t="s">
        <v>26</v>
      </c>
      <c r="BW149" s="6">
        <v>4164</v>
      </c>
      <c r="BX149" s="6">
        <v>-3.75328926967929e-7</v>
      </c>
      <c r="BY149" s="6">
        <v>-4.71554771612564e-7</v>
      </c>
      <c r="BZ149" s="6">
        <v>1.33993853283286</v>
      </c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</row>
    <row r="150" spans="1:10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4"/>
      <c r="AM150" s="4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4"/>
      <c r="AZ150" s="4"/>
      <c r="BA150" s="6" t="s">
        <v>24</v>
      </c>
      <c r="BB150" s="6">
        <v>165</v>
      </c>
      <c r="BC150" s="6" t="s">
        <v>24</v>
      </c>
      <c r="BD150" s="6">
        <v>340</v>
      </c>
      <c r="BE150" s="6" t="s">
        <v>25</v>
      </c>
      <c r="BF150" s="6">
        <v>625</v>
      </c>
      <c r="BG150" s="6" t="s">
        <v>26</v>
      </c>
      <c r="BH150" s="6">
        <v>3456</v>
      </c>
      <c r="BI150" s="6">
        <v>-6.64343892257885e-7</v>
      </c>
      <c r="BJ150" s="6">
        <v>-8.2659769290042e-7</v>
      </c>
      <c r="BK150" s="6">
        <v>1.46618397982844</v>
      </c>
      <c r="BL150" s="4"/>
      <c r="BM150" s="4">
        <f t="shared" si="6"/>
        <v>588.12</v>
      </c>
      <c r="BN150" s="15">
        <f t="shared" si="5"/>
        <v>423.12</v>
      </c>
      <c r="BO150" s="6"/>
      <c r="BP150" s="6" t="s">
        <v>24</v>
      </c>
      <c r="BQ150" s="6">
        <v>165</v>
      </c>
      <c r="BR150" s="6" t="s">
        <v>24</v>
      </c>
      <c r="BS150" s="6">
        <v>340</v>
      </c>
      <c r="BT150" s="6" t="s">
        <v>25</v>
      </c>
      <c r="BU150" s="6">
        <v>797</v>
      </c>
      <c r="BV150" s="6" t="s">
        <v>26</v>
      </c>
      <c r="BW150" s="6">
        <v>4488</v>
      </c>
      <c r="BX150" s="6">
        <v>-4.0612394025782e-7</v>
      </c>
      <c r="BY150" s="6">
        <v>-4.83867799834618e-7</v>
      </c>
      <c r="BZ150" s="6">
        <v>1.33758489818694</v>
      </c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</row>
    <row r="151" spans="1:10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4"/>
      <c r="AM151" s="4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4"/>
      <c r="AZ151" s="4"/>
      <c r="BA151" s="6" t="s">
        <v>24</v>
      </c>
      <c r="BB151" s="6">
        <v>165</v>
      </c>
      <c r="BC151" s="6" t="s">
        <v>24</v>
      </c>
      <c r="BD151" s="6">
        <v>340</v>
      </c>
      <c r="BE151" s="6" t="s">
        <v>25</v>
      </c>
      <c r="BF151" s="6">
        <v>676</v>
      </c>
      <c r="BG151" s="6" t="s">
        <v>26</v>
      </c>
      <c r="BH151" s="6">
        <v>3750</v>
      </c>
      <c r="BI151" s="6">
        <v>-5.6838550394879e-7</v>
      </c>
      <c r="BJ151" s="6">
        <v>-6.772647607695e-7</v>
      </c>
      <c r="BK151" s="6">
        <v>1.41221358077403</v>
      </c>
      <c r="BL151" s="4"/>
      <c r="BM151" s="4">
        <f t="shared" si="6"/>
        <v>637.12</v>
      </c>
      <c r="BN151" s="15">
        <f t="shared" si="5"/>
        <v>472.12</v>
      </c>
      <c r="BO151" s="6"/>
      <c r="BP151" s="6" t="s">
        <v>24</v>
      </c>
      <c r="BQ151" s="6">
        <v>165</v>
      </c>
      <c r="BR151" s="6" t="s">
        <v>24</v>
      </c>
      <c r="BS151" s="6">
        <v>340</v>
      </c>
      <c r="BT151" s="6" t="s">
        <v>25</v>
      </c>
      <c r="BU151" s="6">
        <v>861</v>
      </c>
      <c r="BV151" s="6" t="s">
        <v>26</v>
      </c>
      <c r="BW151" s="6">
        <v>4860</v>
      </c>
      <c r="BX151" s="6">
        <v>-3.79003849057286e-7</v>
      </c>
      <c r="BY151" s="6">
        <v>-4.46375425192805e-7</v>
      </c>
      <c r="BZ151" s="6">
        <v>1.31637139058905</v>
      </c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</row>
    <row r="152" spans="1:10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4"/>
      <c r="AM152" s="4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4"/>
      <c r="AZ152" s="4"/>
      <c r="BA152" s="6" t="s">
        <v>24</v>
      </c>
      <c r="BB152" s="6">
        <v>165</v>
      </c>
      <c r="BC152" s="6" t="s">
        <v>24</v>
      </c>
      <c r="BD152" s="6">
        <v>340</v>
      </c>
      <c r="BE152" s="6" t="s">
        <v>25</v>
      </c>
      <c r="BF152" s="6">
        <v>729</v>
      </c>
      <c r="BG152" s="6" t="s">
        <v>26</v>
      </c>
      <c r="BH152" s="6">
        <v>4056</v>
      </c>
      <c r="BI152" s="6">
        <v>-4.6198135020586e-7</v>
      </c>
      <c r="BJ152" s="6">
        <v>-5.76851048348037e-7</v>
      </c>
      <c r="BK152" s="6">
        <v>1.38578945108117</v>
      </c>
      <c r="BL152" s="4"/>
      <c r="BM152" s="4">
        <f t="shared" si="6"/>
        <v>688.08</v>
      </c>
      <c r="BN152" s="15">
        <f t="shared" si="5"/>
        <v>523.08</v>
      </c>
      <c r="BO152" s="6"/>
      <c r="BP152" s="6" t="s">
        <v>24</v>
      </c>
      <c r="BQ152" s="6">
        <v>165</v>
      </c>
      <c r="BR152" s="6" t="s">
        <v>24</v>
      </c>
      <c r="BS152" s="6">
        <v>340</v>
      </c>
      <c r="BT152" s="6" t="s">
        <v>25</v>
      </c>
      <c r="BU152" s="6">
        <v>927</v>
      </c>
      <c r="BV152" s="6" t="s">
        <v>26</v>
      </c>
      <c r="BW152" s="6">
        <v>5244</v>
      </c>
      <c r="BX152" s="6">
        <v>-3.50597115050419e-7</v>
      </c>
      <c r="BY152" s="6">
        <v>-4.22675028130138e-7</v>
      </c>
      <c r="BZ152" s="6">
        <v>1.30847879621433</v>
      </c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</row>
    <row r="153" spans="1:10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4"/>
      <c r="AM153" s="4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4"/>
      <c r="AZ153" s="4"/>
      <c r="BA153" s="6" t="s">
        <v>24</v>
      </c>
      <c r="BB153" s="6">
        <v>165</v>
      </c>
      <c r="BC153" s="6" t="s">
        <v>24</v>
      </c>
      <c r="BD153" s="6">
        <v>340</v>
      </c>
      <c r="BE153" s="6" t="s">
        <v>25</v>
      </c>
      <c r="BF153" s="6">
        <v>784</v>
      </c>
      <c r="BG153" s="6" t="s">
        <v>26</v>
      </c>
      <c r="BH153" s="6">
        <v>4374</v>
      </c>
      <c r="BI153" s="6">
        <v>-4.41727312436835e-7</v>
      </c>
      <c r="BJ153" s="6">
        <v>-5.414983463792e-7</v>
      </c>
      <c r="BK153" s="6">
        <v>1.36691565595286</v>
      </c>
      <c r="BL153" s="4"/>
      <c r="BM153" s="4">
        <f t="shared" si="6"/>
        <v>744.855</v>
      </c>
      <c r="BN153" s="15">
        <f t="shared" si="5"/>
        <v>579.855</v>
      </c>
      <c r="BO153" s="6"/>
      <c r="BP153" s="6" t="s">
        <v>24</v>
      </c>
      <c r="BQ153" s="6">
        <v>165</v>
      </c>
      <c r="BR153" s="6" t="s">
        <v>24</v>
      </c>
      <c r="BS153" s="6">
        <v>340</v>
      </c>
      <c r="BT153" s="6" t="s">
        <v>25</v>
      </c>
      <c r="BU153" s="6">
        <v>977</v>
      </c>
      <c r="BV153" s="6" t="s">
        <v>26</v>
      </c>
      <c r="BW153" s="6">
        <v>5532</v>
      </c>
      <c r="BX153" s="6">
        <v>-3.46183341589847e-7</v>
      </c>
      <c r="BY153" s="6">
        <v>-4.04213921533683e-7</v>
      </c>
      <c r="BZ153" s="6">
        <v>1.29320874682703</v>
      </c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</row>
    <row r="154" spans="1:10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4"/>
      <c r="AM154" s="4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4"/>
      <c r="AZ154" s="4"/>
      <c r="BA154" s="6" t="s">
        <v>24</v>
      </c>
      <c r="BB154" s="6">
        <v>165</v>
      </c>
      <c r="BC154" s="6" t="s">
        <v>24</v>
      </c>
      <c r="BD154" s="6">
        <v>340</v>
      </c>
      <c r="BE154" s="6" t="s">
        <v>25</v>
      </c>
      <c r="BF154" s="6">
        <v>841</v>
      </c>
      <c r="BG154" s="6" t="s">
        <v>26</v>
      </c>
      <c r="BH154" s="6">
        <v>4704</v>
      </c>
      <c r="BI154" s="6">
        <v>-4.08613221738379e-7</v>
      </c>
      <c r="BJ154" s="6">
        <v>-5.06620616390508e-7</v>
      </c>
      <c r="BK154" s="6">
        <v>1.35458110825082</v>
      </c>
      <c r="BL154" s="4"/>
      <c r="BM154" s="4">
        <f t="shared" si="6"/>
        <v>799.875</v>
      </c>
      <c r="BN154" s="15">
        <f t="shared" si="5"/>
        <v>634.875</v>
      </c>
      <c r="BO154" s="6"/>
      <c r="BP154" s="6" t="s">
        <v>24</v>
      </c>
      <c r="BQ154" s="6">
        <v>165</v>
      </c>
      <c r="BR154" s="6" t="s">
        <v>24</v>
      </c>
      <c r="BS154" s="6">
        <v>340</v>
      </c>
      <c r="BT154" s="6" t="s">
        <v>25</v>
      </c>
      <c r="BU154" s="6">
        <v>1034</v>
      </c>
      <c r="BV154" s="6" t="s">
        <v>26</v>
      </c>
      <c r="BW154" s="6">
        <v>5862</v>
      </c>
      <c r="BX154" s="6">
        <v>-3.61007440415929e-7</v>
      </c>
      <c r="BY154" s="6">
        <v>-4.1209814591168e-7</v>
      </c>
      <c r="BZ154" s="6">
        <v>1.29259958478803</v>
      </c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</row>
    <row r="155" spans="1:10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4"/>
      <c r="AM155" s="4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4"/>
      <c r="AZ155" s="4"/>
      <c r="BA155" s="6" t="s">
        <v>24</v>
      </c>
      <c r="BB155" s="6">
        <v>165</v>
      </c>
      <c r="BC155" s="6" t="s">
        <v>24</v>
      </c>
      <c r="BD155" s="6">
        <v>340</v>
      </c>
      <c r="BE155" s="6" t="s">
        <v>25</v>
      </c>
      <c r="BF155" s="6">
        <v>900</v>
      </c>
      <c r="BG155" s="6" t="s">
        <v>26</v>
      </c>
      <c r="BH155" s="6">
        <v>5046</v>
      </c>
      <c r="BI155" s="6">
        <v>-3.85973278534603e-7</v>
      </c>
      <c r="BJ155" s="6">
        <v>-4.8456993467832e-7</v>
      </c>
      <c r="BK155" s="6">
        <v>1.3465960413079</v>
      </c>
      <c r="BL155" s="4"/>
      <c r="BM155" s="4">
        <f t="shared" si="6"/>
        <v>856.855</v>
      </c>
      <c r="BN155" s="15">
        <f t="shared" si="5"/>
        <v>691.855</v>
      </c>
      <c r="BO155" s="6"/>
      <c r="BP155" s="6" t="s">
        <v>24</v>
      </c>
      <c r="BQ155" s="6">
        <v>165</v>
      </c>
      <c r="BR155" s="6" t="s">
        <v>24</v>
      </c>
      <c r="BS155" s="6">
        <v>340</v>
      </c>
      <c r="BT155" s="6" t="s">
        <v>25</v>
      </c>
      <c r="BU155" s="6">
        <v>1085</v>
      </c>
      <c r="BV155" s="6" t="s">
        <v>26</v>
      </c>
      <c r="BW155" s="6">
        <v>6156</v>
      </c>
      <c r="BX155" s="6">
        <v>-3.71271440013283e-7</v>
      </c>
      <c r="BY155" s="6">
        <v>-4.18237573985391e-7</v>
      </c>
      <c r="BZ155" s="6">
        <v>1.29333777331279</v>
      </c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</row>
    <row r="156" spans="1:10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4"/>
      <c r="AM156" s="4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4"/>
      <c r="AZ156" s="4"/>
      <c r="BA156" s="6" t="s">
        <v>24</v>
      </c>
      <c r="BB156" s="6">
        <v>165</v>
      </c>
      <c r="BC156" s="6" t="s">
        <v>24</v>
      </c>
      <c r="BD156" s="6">
        <v>340</v>
      </c>
      <c r="BE156" s="6" t="s">
        <v>25</v>
      </c>
      <c r="BF156" s="6">
        <v>961</v>
      </c>
      <c r="BG156" s="6" t="s">
        <v>26</v>
      </c>
      <c r="BH156" s="6">
        <v>5400</v>
      </c>
      <c r="BI156" s="6">
        <v>-3.75463715811426e-7</v>
      </c>
      <c r="BJ156" s="6">
        <v>-4.60620428556501e-7</v>
      </c>
      <c r="BK156" s="6">
        <v>1.33202338344624</v>
      </c>
      <c r="BL156" s="4"/>
      <c r="BM156" s="4">
        <f t="shared" si="6"/>
        <v>915.795</v>
      </c>
      <c r="BN156" s="15">
        <f t="shared" si="5"/>
        <v>750.795</v>
      </c>
      <c r="BO156" s="6"/>
      <c r="BP156" s="6" t="s">
        <v>24</v>
      </c>
      <c r="BQ156" s="6">
        <v>165</v>
      </c>
      <c r="BR156" s="6" t="s">
        <v>24</v>
      </c>
      <c r="BS156" s="6">
        <v>340</v>
      </c>
      <c r="BT156" s="6" t="s">
        <v>25</v>
      </c>
      <c r="BU156" s="6">
        <v>1177</v>
      </c>
      <c r="BV156" s="6" t="s">
        <v>26</v>
      </c>
      <c r="BW156" s="6">
        <v>6696</v>
      </c>
      <c r="BX156" s="6">
        <v>-3.52690497565972e-7</v>
      </c>
      <c r="BY156" s="6">
        <v>-4.00509196856029e-7</v>
      </c>
      <c r="BZ156" s="6">
        <v>1.28579200560498</v>
      </c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</row>
    <row r="157" spans="1:10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4"/>
      <c r="AM157" s="4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4"/>
      <c r="AZ157" s="4"/>
      <c r="BA157" s="6" t="s">
        <v>24</v>
      </c>
      <c r="BB157" s="6">
        <v>165</v>
      </c>
      <c r="BC157" s="6" t="s">
        <v>24</v>
      </c>
      <c r="BD157" s="6">
        <v>340</v>
      </c>
      <c r="BE157" s="6" t="s">
        <v>25</v>
      </c>
      <c r="BF157" s="6">
        <v>1024</v>
      </c>
      <c r="BG157" s="6" t="s">
        <v>26</v>
      </c>
      <c r="BH157" s="6">
        <v>5766</v>
      </c>
      <c r="BI157" s="6">
        <v>-3.65729074479945e-7</v>
      </c>
      <c r="BJ157" s="6">
        <v>-4.38726453371175e-7</v>
      </c>
      <c r="BK157" s="6">
        <v>1.31758358886786</v>
      </c>
      <c r="BL157" s="4"/>
      <c r="BM157" s="4">
        <f t="shared" si="6"/>
        <v>976.695</v>
      </c>
      <c r="BN157" s="15">
        <f t="shared" si="5"/>
        <v>811.695</v>
      </c>
      <c r="BO157" s="6"/>
      <c r="BP157" s="6" t="s">
        <v>24</v>
      </c>
      <c r="BQ157" s="6">
        <v>165</v>
      </c>
      <c r="BR157" s="6" t="s">
        <v>24</v>
      </c>
      <c r="BS157" s="6">
        <v>340</v>
      </c>
      <c r="BT157" s="6" t="s">
        <v>25</v>
      </c>
      <c r="BU157" s="6">
        <v>1243</v>
      </c>
      <c r="BV157" s="6" t="s">
        <v>26</v>
      </c>
      <c r="BW157" s="6">
        <v>7080</v>
      </c>
      <c r="BX157" s="6">
        <v>-3.38456344747292e-7</v>
      </c>
      <c r="BY157" s="6">
        <v>-3.80208201286643e-7</v>
      </c>
      <c r="BZ157" s="6">
        <v>1.27157545808629</v>
      </c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</row>
    <row r="158" spans="1:10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4"/>
      <c r="AM158" s="4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4"/>
      <c r="AZ158" s="4"/>
      <c r="BA158" s="6" t="s">
        <v>24</v>
      </c>
      <c r="BB158" s="6">
        <v>165</v>
      </c>
      <c r="BC158" s="6" t="s">
        <v>24</v>
      </c>
      <c r="BD158" s="6">
        <v>340</v>
      </c>
      <c r="BE158" s="6" t="s">
        <v>25</v>
      </c>
      <c r="BF158" s="6">
        <v>1089</v>
      </c>
      <c r="BG158" s="6" t="s">
        <v>26</v>
      </c>
      <c r="BH158" s="6">
        <v>6144</v>
      </c>
      <c r="BI158" s="6">
        <v>-3.59764437143261e-7</v>
      </c>
      <c r="BJ158" s="6">
        <v>-4.19856215063e-7</v>
      </c>
      <c r="BK158" s="6">
        <v>1.30240136711702</v>
      </c>
      <c r="BL158" s="4"/>
      <c r="BM158" s="4">
        <f t="shared" si="6"/>
        <v>1039.555</v>
      </c>
      <c r="BN158" s="15">
        <f t="shared" si="5"/>
        <v>874.555</v>
      </c>
      <c r="BO158" s="6"/>
      <c r="BP158" s="6" t="s">
        <v>24</v>
      </c>
      <c r="BQ158" s="6">
        <v>165</v>
      </c>
      <c r="BR158" s="6" t="s">
        <v>24</v>
      </c>
      <c r="BS158" s="6">
        <v>340</v>
      </c>
      <c r="BT158" s="6" t="s">
        <v>25</v>
      </c>
      <c r="BU158" s="6">
        <v>1325</v>
      </c>
      <c r="BV158" s="6" t="s">
        <v>26</v>
      </c>
      <c r="BW158" s="6">
        <v>7560</v>
      </c>
      <c r="BX158" s="6">
        <v>-3.45724792906624e-7</v>
      </c>
      <c r="BY158" s="6">
        <v>-3.87327564888994e-7</v>
      </c>
      <c r="BZ158" s="6">
        <v>1.27491624115451</v>
      </c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</row>
    <row r="159" ht="23.25" spans="1:10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4"/>
      <c r="Z159" s="4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4"/>
      <c r="AM159" s="4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4"/>
      <c r="AZ159" s="4"/>
      <c r="BA159" s="10" t="s">
        <v>31</v>
      </c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4"/>
      <c r="BM159" s="4"/>
      <c r="BN159" s="15"/>
      <c r="BO159" s="6"/>
      <c r="BP159" s="10" t="s">
        <v>31</v>
      </c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</row>
    <row r="160" ht="23.25" spans="1:10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4"/>
      <c r="Z160" s="4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4"/>
      <c r="AM160" s="4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4"/>
      <c r="AZ160" s="4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4"/>
      <c r="BM160" s="4"/>
      <c r="BN160" s="15"/>
      <c r="BO160" s="3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</row>
    <row r="161" ht="23.25" spans="1:10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4"/>
      <c r="AM161" s="4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4"/>
      <c r="AZ161" s="4"/>
      <c r="BA161" s="6" t="s">
        <v>12</v>
      </c>
      <c r="BB161" s="6" t="s">
        <v>13</v>
      </c>
      <c r="BC161" s="6" t="s">
        <v>14</v>
      </c>
      <c r="BD161" s="6" t="s">
        <v>15</v>
      </c>
      <c r="BE161" s="6" t="s">
        <v>16</v>
      </c>
      <c r="BF161" s="6" t="s">
        <v>17</v>
      </c>
      <c r="BG161" s="6" t="s">
        <v>18</v>
      </c>
      <c r="BH161" s="6" t="s">
        <v>19</v>
      </c>
      <c r="BI161" s="6" t="s">
        <v>20</v>
      </c>
      <c r="BJ161" s="6" t="s">
        <v>21</v>
      </c>
      <c r="BK161" s="6" t="s">
        <v>22</v>
      </c>
      <c r="BL161" s="4"/>
      <c r="BM161" s="4"/>
      <c r="BN161" s="15"/>
      <c r="BO161" s="3"/>
      <c r="BP161" s="6" t="s">
        <v>12</v>
      </c>
      <c r="BQ161" s="6" t="s">
        <v>13</v>
      </c>
      <c r="BR161" s="6" t="s">
        <v>14</v>
      </c>
      <c r="BS161" s="6" t="s">
        <v>15</v>
      </c>
      <c r="BT161" s="6" t="s">
        <v>16</v>
      </c>
      <c r="BU161" s="6" t="s">
        <v>17</v>
      </c>
      <c r="BV161" s="6" t="s">
        <v>18</v>
      </c>
      <c r="BW161" s="6" t="s">
        <v>19</v>
      </c>
      <c r="BX161" s="6" t="s">
        <v>20</v>
      </c>
      <c r="BY161" s="6" t="s">
        <v>21</v>
      </c>
      <c r="BZ161" s="6" t="s">
        <v>22</v>
      </c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</row>
    <row r="162" ht="23.25" spans="1:10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6" t="s">
        <v>24</v>
      </c>
      <c r="BB162" s="6">
        <v>174</v>
      </c>
      <c r="BC162" s="6" t="s">
        <v>24</v>
      </c>
      <c r="BD162" s="6">
        <v>340</v>
      </c>
      <c r="BE162" s="6" t="s">
        <v>25</v>
      </c>
      <c r="BF162" s="6">
        <v>144</v>
      </c>
      <c r="BG162" s="6" t="s">
        <v>26</v>
      </c>
      <c r="BH162" s="6">
        <v>726</v>
      </c>
      <c r="BI162" s="6">
        <v>-1.40441000592718</v>
      </c>
      <c r="BJ162" s="6">
        <v>-1.55785088971555</v>
      </c>
      <c r="BK162" s="6">
        <v>-0.648602340344652</v>
      </c>
      <c r="BL162" s="4"/>
      <c r="BM162" s="4">
        <f t="shared" si="6"/>
        <v>126.28</v>
      </c>
      <c r="BN162" s="15">
        <f t="shared" si="5"/>
        <v>47.72</v>
      </c>
      <c r="BO162" s="4"/>
      <c r="BP162" s="6" t="s">
        <v>24</v>
      </c>
      <c r="BQ162" s="6">
        <v>174</v>
      </c>
      <c r="BR162" s="6" t="s">
        <v>24</v>
      </c>
      <c r="BS162" s="6">
        <v>340</v>
      </c>
      <c r="BT162" s="6" t="s">
        <v>25</v>
      </c>
      <c r="BU162" s="6">
        <v>174</v>
      </c>
      <c r="BV162" s="6" t="s">
        <v>26</v>
      </c>
      <c r="BW162" s="6">
        <v>906</v>
      </c>
      <c r="BX162" s="6">
        <v>-1.97890607290565</v>
      </c>
      <c r="BY162" s="6">
        <v>-1.86214593092227</v>
      </c>
      <c r="BZ162" s="6">
        <v>-0.858423758946854</v>
      </c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</row>
    <row r="163" spans="1:10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4"/>
      <c r="AZ163" s="4"/>
      <c r="BA163" s="6" t="s">
        <v>24</v>
      </c>
      <c r="BB163" s="6">
        <v>174</v>
      </c>
      <c r="BC163" s="6" t="s">
        <v>24</v>
      </c>
      <c r="BD163" s="6">
        <v>340</v>
      </c>
      <c r="BE163" s="6" t="s">
        <v>25</v>
      </c>
      <c r="BF163" s="6">
        <v>169</v>
      </c>
      <c r="BG163" s="6" t="s">
        <v>26</v>
      </c>
      <c r="BH163" s="6">
        <v>864</v>
      </c>
      <c r="BI163" s="6">
        <v>-1.90411972871817</v>
      </c>
      <c r="BJ163" s="6">
        <v>-1.78993969123201</v>
      </c>
      <c r="BK163" s="6">
        <v>-0.845568248141167</v>
      </c>
      <c r="BL163" s="4"/>
      <c r="BM163" s="4">
        <f t="shared" si="6"/>
        <v>149.52</v>
      </c>
      <c r="BN163" s="15">
        <f t="shared" si="5"/>
        <v>24.48</v>
      </c>
      <c r="BO163" s="6"/>
      <c r="BP163" s="6" t="s">
        <v>24</v>
      </c>
      <c r="BQ163" s="6">
        <v>174</v>
      </c>
      <c r="BR163" s="6" t="s">
        <v>24</v>
      </c>
      <c r="BS163" s="6">
        <v>340</v>
      </c>
      <c r="BT163" s="6" t="s">
        <v>25</v>
      </c>
      <c r="BU163" s="6">
        <v>209</v>
      </c>
      <c r="BV163" s="6" t="s">
        <v>26</v>
      </c>
      <c r="BW163" s="6">
        <v>1104</v>
      </c>
      <c r="BX163" s="6">
        <v>-1.75994988260524</v>
      </c>
      <c r="BY163" s="6">
        <v>-1.42867314656797</v>
      </c>
      <c r="BZ163" s="6">
        <v>-0.234271065882444</v>
      </c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</row>
    <row r="164" spans="1:10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4"/>
      <c r="AM164" s="4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4"/>
      <c r="AZ164" s="4"/>
      <c r="BA164" s="11" t="s">
        <v>24</v>
      </c>
      <c r="BB164" s="11">
        <v>174</v>
      </c>
      <c r="BC164" s="11" t="s">
        <v>24</v>
      </c>
      <c r="BD164" s="11">
        <v>340</v>
      </c>
      <c r="BE164" s="11" t="s">
        <v>25</v>
      </c>
      <c r="BF164" s="11">
        <v>196</v>
      </c>
      <c r="BG164" s="11" t="s">
        <v>26</v>
      </c>
      <c r="BH164" s="11">
        <v>1014</v>
      </c>
      <c r="BI164" s="11">
        <v>-2.08645383861956</v>
      </c>
      <c r="BJ164" s="11">
        <v>-1.71102859169676</v>
      </c>
      <c r="BK164" s="11">
        <v>-0.579986022261937</v>
      </c>
      <c r="BL164" s="12"/>
      <c r="BM164" s="12">
        <f t="shared" si="6"/>
        <v>176.595</v>
      </c>
      <c r="BN164" s="15">
        <f t="shared" si="5"/>
        <v>2.59500000000003</v>
      </c>
      <c r="BO164" s="6"/>
      <c r="BP164" s="6" t="s">
        <v>24</v>
      </c>
      <c r="BQ164" s="6">
        <v>174</v>
      </c>
      <c r="BR164" s="6" t="s">
        <v>24</v>
      </c>
      <c r="BS164" s="6">
        <v>340</v>
      </c>
      <c r="BT164" s="6" t="s">
        <v>25</v>
      </c>
      <c r="BU164" s="6">
        <v>238</v>
      </c>
      <c r="BV164" s="6" t="s">
        <v>26</v>
      </c>
      <c r="BW164" s="6">
        <v>1266</v>
      </c>
      <c r="BX164" s="6">
        <v>-1.70395708083831</v>
      </c>
      <c r="BY164" s="6">
        <v>-1.41392149522802</v>
      </c>
      <c r="BZ164" s="6">
        <v>-0.0892630423584986</v>
      </c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</row>
    <row r="165" spans="1:10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4"/>
      <c r="AM165" s="4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4"/>
      <c r="AZ165" s="4"/>
      <c r="BA165" s="6" t="s">
        <v>24</v>
      </c>
      <c r="BB165" s="6">
        <v>174</v>
      </c>
      <c r="BC165" s="6" t="s">
        <v>24</v>
      </c>
      <c r="BD165" s="6">
        <v>340</v>
      </c>
      <c r="BE165" s="6" t="s">
        <v>25</v>
      </c>
      <c r="BF165" s="6">
        <v>225</v>
      </c>
      <c r="BG165" s="6" t="s">
        <v>26</v>
      </c>
      <c r="BH165" s="6">
        <v>1176</v>
      </c>
      <c r="BI165" s="6">
        <v>-1.90008319923273</v>
      </c>
      <c r="BJ165" s="6">
        <v>-1.53086047428386</v>
      </c>
      <c r="BK165" s="6">
        <v>-0.231823323652117</v>
      </c>
      <c r="BL165" s="4"/>
      <c r="BM165" s="4">
        <f t="shared" si="6"/>
        <v>203.895</v>
      </c>
      <c r="BN165" s="15">
        <f t="shared" si="5"/>
        <v>29.8950000000001</v>
      </c>
      <c r="BO165" s="6"/>
      <c r="BP165" s="6" t="s">
        <v>24</v>
      </c>
      <c r="BQ165" s="6">
        <v>174</v>
      </c>
      <c r="BR165" s="6" t="s">
        <v>24</v>
      </c>
      <c r="BS165" s="6">
        <v>340</v>
      </c>
      <c r="BT165" s="6" t="s">
        <v>25</v>
      </c>
      <c r="BU165" s="6">
        <v>256</v>
      </c>
      <c r="BV165" s="6" t="s">
        <v>26</v>
      </c>
      <c r="BW165" s="6">
        <v>1362</v>
      </c>
      <c r="BX165" s="6">
        <v>-1.60937708140757</v>
      </c>
      <c r="BY165" s="6">
        <v>-1.34682877727142</v>
      </c>
      <c r="BZ165" s="6">
        <v>-0.0243992212948175</v>
      </c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</row>
    <row r="166" spans="1:10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4"/>
      <c r="AM166" s="4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4"/>
      <c r="AZ166" s="4"/>
      <c r="BA166" s="6" t="s">
        <v>24</v>
      </c>
      <c r="BB166" s="6">
        <v>174</v>
      </c>
      <c r="BC166" s="6" t="s">
        <v>24</v>
      </c>
      <c r="BD166" s="6">
        <v>340</v>
      </c>
      <c r="BE166" s="6" t="s">
        <v>25</v>
      </c>
      <c r="BF166" s="6">
        <v>256</v>
      </c>
      <c r="BG166" s="6" t="s">
        <v>26</v>
      </c>
      <c r="BH166" s="6">
        <v>1350</v>
      </c>
      <c r="BI166" s="6">
        <v>-1.52794772363038</v>
      </c>
      <c r="BJ166" s="6">
        <v>-1.28890720783529</v>
      </c>
      <c r="BK166" s="6">
        <v>0.165545293195289</v>
      </c>
      <c r="BL166" s="4"/>
      <c r="BM166" s="4">
        <f t="shared" si="6"/>
        <v>233.155</v>
      </c>
      <c r="BN166" s="15">
        <f t="shared" si="5"/>
        <v>59.155</v>
      </c>
      <c r="BO166" s="6"/>
      <c r="BP166" s="6" t="s">
        <v>24</v>
      </c>
      <c r="BQ166" s="6">
        <v>174</v>
      </c>
      <c r="BR166" s="6" t="s">
        <v>24</v>
      </c>
      <c r="BS166" s="6">
        <v>340</v>
      </c>
      <c r="BT166" s="6" t="s">
        <v>25</v>
      </c>
      <c r="BU166" s="6">
        <v>297</v>
      </c>
      <c r="BV166" s="6" t="s">
        <v>26</v>
      </c>
      <c r="BW166" s="6">
        <v>1596</v>
      </c>
      <c r="BX166" s="6">
        <v>-1.39515196262745</v>
      </c>
      <c r="BY166" s="6">
        <v>-1.23679865010116</v>
      </c>
      <c r="BZ166" s="6">
        <v>0.207684693867434</v>
      </c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</row>
    <row r="167" spans="1:10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4"/>
      <c r="AM167" s="4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4"/>
      <c r="AZ167" s="4"/>
      <c r="BA167" s="6" t="s">
        <v>24</v>
      </c>
      <c r="BB167" s="6">
        <v>174</v>
      </c>
      <c r="BC167" s="6" t="s">
        <v>24</v>
      </c>
      <c r="BD167" s="6">
        <v>340</v>
      </c>
      <c r="BE167" s="6" t="s">
        <v>25</v>
      </c>
      <c r="BF167" s="6">
        <v>289</v>
      </c>
      <c r="BG167" s="6" t="s">
        <v>26</v>
      </c>
      <c r="BH167" s="6">
        <v>1536</v>
      </c>
      <c r="BI167" s="6">
        <v>-1.17816586835927</v>
      </c>
      <c r="BJ167" s="6">
        <v>-1.0508511024262</v>
      </c>
      <c r="BK167" s="6">
        <v>0.447434458425558</v>
      </c>
      <c r="BL167" s="4"/>
      <c r="BM167" s="4">
        <f t="shared" si="6"/>
        <v>264.375</v>
      </c>
      <c r="BN167" s="15">
        <f t="shared" si="5"/>
        <v>90.375</v>
      </c>
      <c r="BO167" s="6"/>
      <c r="BP167" s="6" t="s">
        <v>24</v>
      </c>
      <c r="BQ167" s="6">
        <v>174</v>
      </c>
      <c r="BR167" s="6" t="s">
        <v>24</v>
      </c>
      <c r="BS167" s="6">
        <v>340</v>
      </c>
      <c r="BT167" s="6" t="s">
        <v>25</v>
      </c>
      <c r="BU167" s="6">
        <v>340</v>
      </c>
      <c r="BV167" s="6" t="s">
        <v>26</v>
      </c>
      <c r="BW167" s="6">
        <v>1842</v>
      </c>
      <c r="BX167" s="6">
        <v>-1.30598459063683</v>
      </c>
      <c r="BY167" s="6">
        <v>-1.13982538425758</v>
      </c>
      <c r="BZ167" s="6">
        <v>0.10439973258172</v>
      </c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</row>
    <row r="168" spans="1:10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4"/>
      <c r="AM168" s="4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4"/>
      <c r="AZ168" s="4"/>
      <c r="BA168" s="6" t="s">
        <v>24</v>
      </c>
      <c r="BB168" s="6">
        <v>174</v>
      </c>
      <c r="BC168" s="6" t="s">
        <v>24</v>
      </c>
      <c r="BD168" s="6">
        <v>340</v>
      </c>
      <c r="BE168" s="6" t="s">
        <v>25</v>
      </c>
      <c r="BF168" s="6">
        <v>324</v>
      </c>
      <c r="BG168" s="6" t="s">
        <v>26</v>
      </c>
      <c r="BH168" s="6">
        <v>1734</v>
      </c>
      <c r="BI168" s="6">
        <v>-0.815397658472307</v>
      </c>
      <c r="BJ168" s="6">
        <v>-0.739416063987774</v>
      </c>
      <c r="BK168" s="6">
        <v>0.888841807462521</v>
      </c>
      <c r="BL168" s="4"/>
      <c r="BM168" s="4">
        <f t="shared" si="6"/>
        <v>297.555</v>
      </c>
      <c r="BN168" s="15">
        <f t="shared" si="5"/>
        <v>123.555</v>
      </c>
      <c r="BO168" s="6"/>
      <c r="BP168" s="6" t="s">
        <v>24</v>
      </c>
      <c r="BQ168" s="6">
        <v>174</v>
      </c>
      <c r="BR168" s="6" t="s">
        <v>24</v>
      </c>
      <c r="BS168" s="6">
        <v>340</v>
      </c>
      <c r="BT168" s="6" t="s">
        <v>25</v>
      </c>
      <c r="BU168" s="6">
        <v>380</v>
      </c>
      <c r="BV168" s="6" t="s">
        <v>26</v>
      </c>
      <c r="BW168" s="6">
        <v>2070</v>
      </c>
      <c r="BX168" s="6">
        <v>-0.195071227076367</v>
      </c>
      <c r="BY168" s="6">
        <v>-0.187876742258144</v>
      </c>
      <c r="BZ168" s="6">
        <v>1.83549159234801</v>
      </c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</row>
    <row r="169" spans="1:10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4"/>
      <c r="AM169" s="4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4"/>
      <c r="AZ169" s="4"/>
      <c r="BA169" s="6" t="s">
        <v>24</v>
      </c>
      <c r="BB169" s="6">
        <v>174</v>
      </c>
      <c r="BC169" s="6" t="s">
        <v>24</v>
      </c>
      <c r="BD169" s="6">
        <v>340</v>
      </c>
      <c r="BE169" s="6" t="s">
        <v>25</v>
      </c>
      <c r="BF169" s="6">
        <v>361</v>
      </c>
      <c r="BG169" s="6" t="s">
        <v>26</v>
      </c>
      <c r="BH169" s="6">
        <v>1944</v>
      </c>
      <c r="BI169" s="6">
        <v>-0.451536606661362</v>
      </c>
      <c r="BJ169" s="6">
        <v>-0.397872086886966</v>
      </c>
      <c r="BK169" s="6">
        <v>1.44039222911384</v>
      </c>
      <c r="BL169" s="4"/>
      <c r="BM169" s="4">
        <f t="shared" si="6"/>
        <v>332.695</v>
      </c>
      <c r="BN169" s="15">
        <f t="shared" si="5"/>
        <v>158.695</v>
      </c>
      <c r="BO169" s="6"/>
      <c r="BP169" s="6" t="s">
        <v>24</v>
      </c>
      <c r="BQ169" s="6">
        <v>174</v>
      </c>
      <c r="BR169" s="6" t="s">
        <v>24</v>
      </c>
      <c r="BS169" s="6">
        <v>340</v>
      </c>
      <c r="BT169" s="6" t="s">
        <v>25</v>
      </c>
      <c r="BU169" s="6">
        <v>435</v>
      </c>
      <c r="BV169" s="6" t="s">
        <v>26</v>
      </c>
      <c r="BW169" s="6">
        <v>2388</v>
      </c>
      <c r="BX169" s="6">
        <v>-3.116853069407e-5</v>
      </c>
      <c r="BY169" s="6">
        <v>-3.17425730888808e-5</v>
      </c>
      <c r="BZ169" s="6">
        <v>2.18647181963724</v>
      </c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</row>
    <row r="170" spans="1:10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4"/>
      <c r="AM170" s="4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4"/>
      <c r="AZ170" s="4"/>
      <c r="BA170" s="6" t="s">
        <v>24</v>
      </c>
      <c r="BB170" s="6">
        <v>174</v>
      </c>
      <c r="BC170" s="6" t="s">
        <v>24</v>
      </c>
      <c r="BD170" s="6">
        <v>340</v>
      </c>
      <c r="BE170" s="6" t="s">
        <v>25</v>
      </c>
      <c r="BF170" s="6">
        <v>400</v>
      </c>
      <c r="BG170" s="6" t="s">
        <v>26</v>
      </c>
      <c r="BH170" s="6">
        <v>2166</v>
      </c>
      <c r="BI170" s="6">
        <v>-0.101143580711151</v>
      </c>
      <c r="BJ170" s="6">
        <v>-0.0875052472843397</v>
      </c>
      <c r="BK170" s="6">
        <v>2.10905038547028</v>
      </c>
      <c r="BL170" s="4"/>
      <c r="BM170" s="4">
        <f t="shared" si="6"/>
        <v>369.795</v>
      </c>
      <c r="BN170" s="15">
        <f t="shared" si="5"/>
        <v>195.795</v>
      </c>
      <c r="BO170" s="6"/>
      <c r="BP170" s="6" t="s">
        <v>24</v>
      </c>
      <c r="BQ170" s="6">
        <v>174</v>
      </c>
      <c r="BR170" s="6" t="s">
        <v>24</v>
      </c>
      <c r="BS170" s="6">
        <v>340</v>
      </c>
      <c r="BT170" s="6" t="s">
        <v>25</v>
      </c>
      <c r="BU170" s="6">
        <v>485</v>
      </c>
      <c r="BV170" s="6" t="s">
        <v>26</v>
      </c>
      <c r="BW170" s="6">
        <v>2676</v>
      </c>
      <c r="BX170" s="6">
        <v>-2.29107316396679e-6</v>
      </c>
      <c r="BY170" s="6">
        <v>-2.798413119452e-6</v>
      </c>
      <c r="BZ170" s="6">
        <v>1.72208634845346</v>
      </c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</row>
    <row r="171" spans="1:10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4"/>
      <c r="AM171" s="4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4"/>
      <c r="AZ171" s="4"/>
      <c r="BA171" s="6" t="s">
        <v>24</v>
      </c>
      <c r="BB171" s="6">
        <v>174</v>
      </c>
      <c r="BC171" s="6" t="s">
        <v>24</v>
      </c>
      <c r="BD171" s="6">
        <v>340</v>
      </c>
      <c r="BE171" s="6" t="s">
        <v>25</v>
      </c>
      <c r="BF171" s="6">
        <v>441</v>
      </c>
      <c r="BG171" s="6" t="s">
        <v>26</v>
      </c>
      <c r="BH171" s="6">
        <v>2400</v>
      </c>
      <c r="BI171" s="6">
        <v>1.30709451818007e-5</v>
      </c>
      <c r="BJ171" s="6">
        <v>-4.83946049023692e-6</v>
      </c>
      <c r="BK171" s="6">
        <v>2.14080683971991</v>
      </c>
      <c r="BL171" s="4"/>
      <c r="BM171" s="4">
        <f t="shared" si="6"/>
        <v>411.72</v>
      </c>
      <c r="BN171" s="15">
        <f t="shared" si="5"/>
        <v>237.72</v>
      </c>
      <c r="BO171" s="6"/>
      <c r="BP171" s="6" t="s">
        <v>24</v>
      </c>
      <c r="BQ171" s="6">
        <v>174</v>
      </c>
      <c r="BR171" s="6" t="s">
        <v>24</v>
      </c>
      <c r="BS171" s="6">
        <v>340</v>
      </c>
      <c r="BT171" s="6" t="s">
        <v>25</v>
      </c>
      <c r="BU171" s="6">
        <v>564</v>
      </c>
      <c r="BV171" s="6" t="s">
        <v>26</v>
      </c>
      <c r="BW171" s="6">
        <v>3138</v>
      </c>
      <c r="BX171" s="6">
        <v>-4.97750948521023e-7</v>
      </c>
      <c r="BY171" s="6">
        <v>-7.19599789791258e-7</v>
      </c>
      <c r="BZ171" s="6">
        <v>1.44912201177266</v>
      </c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</row>
    <row r="172" spans="1:10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4"/>
      <c r="AM172" s="4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4"/>
      <c r="AZ172" s="4"/>
      <c r="BA172" s="6" t="s">
        <v>24</v>
      </c>
      <c r="BB172" s="6">
        <v>174</v>
      </c>
      <c r="BC172" s="6" t="s">
        <v>24</v>
      </c>
      <c r="BD172" s="6">
        <v>340</v>
      </c>
      <c r="BE172" s="6" t="s">
        <v>25</v>
      </c>
      <c r="BF172" s="6">
        <v>484</v>
      </c>
      <c r="BG172" s="6" t="s">
        <v>26</v>
      </c>
      <c r="BH172" s="6">
        <v>2646</v>
      </c>
      <c r="BI172" s="6">
        <v>-2.27396843294217e-6</v>
      </c>
      <c r="BJ172" s="6">
        <v>-3.342737593574e-6</v>
      </c>
      <c r="BK172" s="6">
        <v>1.78587006949713</v>
      </c>
      <c r="BL172" s="4"/>
      <c r="BM172" s="4">
        <f t="shared" si="6"/>
        <v>452.88</v>
      </c>
      <c r="BN172" s="15">
        <f t="shared" si="5"/>
        <v>278.88</v>
      </c>
      <c r="BO172" s="6"/>
      <c r="BP172" s="6" t="s">
        <v>24</v>
      </c>
      <c r="BQ172" s="6">
        <v>174</v>
      </c>
      <c r="BR172" s="6" t="s">
        <v>24</v>
      </c>
      <c r="BS172" s="6">
        <v>340</v>
      </c>
      <c r="BT172" s="6" t="s">
        <v>25</v>
      </c>
      <c r="BU172" s="6">
        <v>598</v>
      </c>
      <c r="BV172" s="6" t="s">
        <v>26</v>
      </c>
      <c r="BW172" s="6">
        <v>3330</v>
      </c>
      <c r="BX172" s="6">
        <v>-4.30640544861417e-7</v>
      </c>
      <c r="BY172" s="6">
        <v>-6.44993209558322e-7</v>
      </c>
      <c r="BZ172" s="6">
        <v>1.43847551551626</v>
      </c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</row>
    <row r="173" spans="1:10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4"/>
      <c r="AM173" s="4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4"/>
      <c r="AZ173" s="4"/>
      <c r="BA173" s="6" t="s">
        <v>24</v>
      </c>
      <c r="BB173" s="6">
        <v>174</v>
      </c>
      <c r="BC173" s="6" t="s">
        <v>24</v>
      </c>
      <c r="BD173" s="6">
        <v>340</v>
      </c>
      <c r="BE173" s="6" t="s">
        <v>25</v>
      </c>
      <c r="BF173" s="6">
        <v>529</v>
      </c>
      <c r="BG173" s="6" t="s">
        <v>26</v>
      </c>
      <c r="BH173" s="6">
        <v>2904</v>
      </c>
      <c r="BI173" s="6">
        <v>-6.8545466759131e-7</v>
      </c>
      <c r="BJ173" s="6">
        <v>-1.44519064610036e-6</v>
      </c>
      <c r="BK173" s="6">
        <v>1.64187449937837</v>
      </c>
      <c r="BL173" s="4"/>
      <c r="BM173" s="4">
        <f t="shared" si="6"/>
        <v>496</v>
      </c>
      <c r="BN173" s="15">
        <f t="shared" si="5"/>
        <v>322</v>
      </c>
      <c r="BO173" s="6"/>
      <c r="BP173" s="6" t="s">
        <v>24</v>
      </c>
      <c r="BQ173" s="6">
        <v>174</v>
      </c>
      <c r="BR173" s="6" t="s">
        <v>24</v>
      </c>
      <c r="BS173" s="6">
        <v>340</v>
      </c>
      <c r="BT173" s="6" t="s">
        <v>25</v>
      </c>
      <c r="BU173" s="6">
        <v>668</v>
      </c>
      <c r="BV173" s="6" t="s">
        <v>26</v>
      </c>
      <c r="BW173" s="6">
        <v>3738</v>
      </c>
      <c r="BX173" s="6">
        <v>-5.31047680652175e-7</v>
      </c>
      <c r="BY173" s="6">
        <v>-5.82480734423345e-7</v>
      </c>
      <c r="BZ173" s="6">
        <v>1.36035456699388</v>
      </c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</row>
    <row r="174" spans="1:10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4"/>
      <c r="AM174" s="4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4"/>
      <c r="AZ174" s="4"/>
      <c r="BA174" s="6" t="s">
        <v>24</v>
      </c>
      <c r="BB174" s="6">
        <v>174</v>
      </c>
      <c r="BC174" s="6" t="s">
        <v>24</v>
      </c>
      <c r="BD174" s="6">
        <v>340</v>
      </c>
      <c r="BE174" s="6" t="s">
        <v>25</v>
      </c>
      <c r="BF174" s="6">
        <v>576</v>
      </c>
      <c r="BG174" s="6" t="s">
        <v>26</v>
      </c>
      <c r="BH174" s="6">
        <v>3174</v>
      </c>
      <c r="BI174" s="6">
        <v>-6.43043750708733e-7</v>
      </c>
      <c r="BJ174" s="6">
        <v>-1.01210743311475e-6</v>
      </c>
      <c r="BK174" s="6">
        <v>1.54463845025387</v>
      </c>
      <c r="BL174" s="4"/>
      <c r="BM174" s="4">
        <f t="shared" si="6"/>
        <v>541.08</v>
      </c>
      <c r="BN174" s="15">
        <f t="shared" si="5"/>
        <v>367.08</v>
      </c>
      <c r="BO174" s="6"/>
      <c r="BP174" s="6" t="s">
        <v>24</v>
      </c>
      <c r="BQ174" s="6">
        <v>174</v>
      </c>
      <c r="BR174" s="6" t="s">
        <v>24</v>
      </c>
      <c r="BS174" s="6">
        <v>340</v>
      </c>
      <c r="BT174" s="6" t="s">
        <v>25</v>
      </c>
      <c r="BU174" s="6">
        <v>741</v>
      </c>
      <c r="BV174" s="6" t="s">
        <v>26</v>
      </c>
      <c r="BW174" s="6">
        <v>4164</v>
      </c>
      <c r="BX174" s="6">
        <v>-4.94240598366361e-7</v>
      </c>
      <c r="BY174" s="6">
        <v>-5.25036705681017e-7</v>
      </c>
      <c r="BZ174" s="6">
        <v>1.33109901842881</v>
      </c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</row>
    <row r="175" spans="1:10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4"/>
      <c r="AM175" s="4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4"/>
      <c r="AZ175" s="4"/>
      <c r="BA175" s="6" t="s">
        <v>24</v>
      </c>
      <c r="BB175" s="6">
        <v>174</v>
      </c>
      <c r="BC175" s="6" t="s">
        <v>24</v>
      </c>
      <c r="BD175" s="6">
        <v>340</v>
      </c>
      <c r="BE175" s="6" t="s">
        <v>25</v>
      </c>
      <c r="BF175" s="6">
        <v>625</v>
      </c>
      <c r="BG175" s="6" t="s">
        <v>26</v>
      </c>
      <c r="BH175" s="6">
        <v>3456</v>
      </c>
      <c r="BI175" s="6">
        <v>-7.23589104586657e-7</v>
      </c>
      <c r="BJ175" s="6">
        <v>-9.72573745323062e-7</v>
      </c>
      <c r="BK175" s="6">
        <v>1.51509675323042</v>
      </c>
      <c r="BL175" s="4"/>
      <c r="BM175" s="4">
        <f t="shared" si="6"/>
        <v>588.12</v>
      </c>
      <c r="BN175" s="15">
        <f t="shared" si="5"/>
        <v>414.12</v>
      </c>
      <c r="BO175" s="6"/>
      <c r="BP175" s="6" t="s">
        <v>24</v>
      </c>
      <c r="BQ175" s="6">
        <v>174</v>
      </c>
      <c r="BR175" s="6" t="s">
        <v>24</v>
      </c>
      <c r="BS175" s="6">
        <v>340</v>
      </c>
      <c r="BT175" s="6" t="s">
        <v>25</v>
      </c>
      <c r="BU175" s="6">
        <v>797</v>
      </c>
      <c r="BV175" s="6" t="s">
        <v>26</v>
      </c>
      <c r="BW175" s="6">
        <v>4488</v>
      </c>
      <c r="BX175" s="6">
        <v>-4.74989011424932e-7</v>
      </c>
      <c r="BY175" s="6">
        <v>-4.80529567777582e-7</v>
      </c>
      <c r="BZ175" s="6">
        <v>1.29877932787628</v>
      </c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</row>
    <row r="176" spans="1:10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4"/>
      <c r="AM176" s="4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4"/>
      <c r="AZ176" s="4"/>
      <c r="BA176" s="6" t="s">
        <v>24</v>
      </c>
      <c r="BB176" s="6">
        <v>174</v>
      </c>
      <c r="BC176" s="6" t="s">
        <v>24</v>
      </c>
      <c r="BD176" s="6">
        <v>340</v>
      </c>
      <c r="BE176" s="6" t="s">
        <v>25</v>
      </c>
      <c r="BF176" s="6">
        <v>676</v>
      </c>
      <c r="BG176" s="6" t="s">
        <v>26</v>
      </c>
      <c r="BH176" s="6">
        <v>3750</v>
      </c>
      <c r="BI176" s="6">
        <v>-5.3685446224709e-7</v>
      </c>
      <c r="BJ176" s="6">
        <v>-7.22651697460624e-7</v>
      </c>
      <c r="BK176" s="6">
        <v>1.44657252422448</v>
      </c>
      <c r="BL176" s="4"/>
      <c r="BM176" s="4">
        <f t="shared" si="6"/>
        <v>637.12</v>
      </c>
      <c r="BN176" s="15">
        <f t="shared" si="5"/>
        <v>463.12</v>
      </c>
      <c r="BO176" s="6"/>
      <c r="BP176" s="6" t="s">
        <v>24</v>
      </c>
      <c r="BQ176" s="6">
        <v>174</v>
      </c>
      <c r="BR176" s="6" t="s">
        <v>24</v>
      </c>
      <c r="BS176" s="6">
        <v>340</v>
      </c>
      <c r="BT176" s="6" t="s">
        <v>25</v>
      </c>
      <c r="BU176" s="6">
        <v>861</v>
      </c>
      <c r="BV176" s="6" t="s">
        <v>26</v>
      </c>
      <c r="BW176" s="6">
        <v>4860</v>
      </c>
      <c r="BX176" s="6">
        <v>-4.43994296547958e-7</v>
      </c>
      <c r="BY176" s="6">
        <v>-4.59272077463606e-7</v>
      </c>
      <c r="BZ176" s="6">
        <v>1.29517571179775</v>
      </c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</row>
    <row r="177" spans="1:10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4"/>
      <c r="AM177" s="4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4"/>
      <c r="AZ177" s="4"/>
      <c r="BA177" s="6" t="s">
        <v>24</v>
      </c>
      <c r="BB177" s="6">
        <v>174</v>
      </c>
      <c r="BC177" s="6" t="s">
        <v>24</v>
      </c>
      <c r="BD177" s="6">
        <v>340</v>
      </c>
      <c r="BE177" s="6" t="s">
        <v>25</v>
      </c>
      <c r="BF177" s="6">
        <v>729</v>
      </c>
      <c r="BG177" s="6" t="s">
        <v>26</v>
      </c>
      <c r="BH177" s="6">
        <v>4056</v>
      </c>
      <c r="BI177" s="6">
        <v>-5.4483546693748e-7</v>
      </c>
      <c r="BJ177" s="6">
        <v>-6.61333753507805e-7</v>
      </c>
      <c r="BK177" s="6">
        <v>1.40970804739973</v>
      </c>
      <c r="BL177" s="4"/>
      <c r="BM177" s="4">
        <f t="shared" si="6"/>
        <v>688.08</v>
      </c>
      <c r="BN177" s="15">
        <f t="shared" ref="BN177:BN240" si="7">ABS(BB177-BM177)</f>
        <v>514.08</v>
      </c>
      <c r="BO177" s="6"/>
      <c r="BP177" s="6" t="s">
        <v>24</v>
      </c>
      <c r="BQ177" s="6">
        <v>174</v>
      </c>
      <c r="BR177" s="6" t="s">
        <v>24</v>
      </c>
      <c r="BS177" s="6">
        <v>340</v>
      </c>
      <c r="BT177" s="6" t="s">
        <v>25</v>
      </c>
      <c r="BU177" s="6">
        <v>927</v>
      </c>
      <c r="BV177" s="6" t="s">
        <v>26</v>
      </c>
      <c r="BW177" s="6">
        <v>5244</v>
      </c>
      <c r="BX177" s="6">
        <v>-3.87201423077484e-7</v>
      </c>
      <c r="BY177" s="6">
        <v>-4.15063268567286e-7</v>
      </c>
      <c r="BZ177" s="6">
        <v>1.28236817317263</v>
      </c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</row>
    <row r="178" spans="1:10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4"/>
      <c r="AM178" s="4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4"/>
      <c r="AZ178" s="4"/>
      <c r="BA178" s="6" t="s">
        <v>24</v>
      </c>
      <c r="BB178" s="6">
        <v>174</v>
      </c>
      <c r="BC178" s="6" t="s">
        <v>24</v>
      </c>
      <c r="BD178" s="6">
        <v>340</v>
      </c>
      <c r="BE178" s="6" t="s">
        <v>25</v>
      </c>
      <c r="BF178" s="6">
        <v>784</v>
      </c>
      <c r="BG178" s="6" t="s">
        <v>26</v>
      </c>
      <c r="BH178" s="6">
        <v>4374</v>
      </c>
      <c r="BI178" s="6">
        <v>-5.38063748323184e-7</v>
      </c>
      <c r="BJ178" s="6">
        <v>-5.97672433856058e-7</v>
      </c>
      <c r="BK178" s="6">
        <v>1.37009775431702</v>
      </c>
      <c r="BL178" s="4"/>
      <c r="BM178" s="4">
        <f t="shared" si="6"/>
        <v>744.855</v>
      </c>
      <c r="BN178" s="15">
        <f t="shared" si="7"/>
        <v>570.855</v>
      </c>
      <c r="BO178" s="6"/>
      <c r="BP178" s="6" t="s">
        <v>24</v>
      </c>
      <c r="BQ178" s="6">
        <v>174</v>
      </c>
      <c r="BR178" s="6" t="s">
        <v>24</v>
      </c>
      <c r="BS178" s="6">
        <v>340</v>
      </c>
      <c r="BT178" s="6" t="s">
        <v>25</v>
      </c>
      <c r="BU178" s="6">
        <v>977</v>
      </c>
      <c r="BV178" s="6" t="s">
        <v>26</v>
      </c>
      <c r="BW178" s="6">
        <v>5532</v>
      </c>
      <c r="BX178" s="6">
        <v>-4.13847896909027e-7</v>
      </c>
      <c r="BY178" s="6">
        <v>-4.24478909286302e-7</v>
      </c>
      <c r="BZ178" s="6">
        <v>1.27514398963868</v>
      </c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</row>
    <row r="179" spans="1:10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4"/>
      <c r="AM179" s="4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4"/>
      <c r="AZ179" s="4"/>
      <c r="BA179" s="6" t="s">
        <v>24</v>
      </c>
      <c r="BB179" s="6">
        <v>174</v>
      </c>
      <c r="BC179" s="6" t="s">
        <v>24</v>
      </c>
      <c r="BD179" s="6">
        <v>340</v>
      </c>
      <c r="BE179" s="6" t="s">
        <v>25</v>
      </c>
      <c r="BF179" s="6">
        <v>841</v>
      </c>
      <c r="BG179" s="6" t="s">
        <v>26</v>
      </c>
      <c r="BH179" s="6">
        <v>4704</v>
      </c>
      <c r="BI179" s="6">
        <v>-4.87439495907152e-7</v>
      </c>
      <c r="BJ179" s="6">
        <v>-5.39708682654172e-7</v>
      </c>
      <c r="BK179" s="6">
        <v>1.3467448916034</v>
      </c>
      <c r="BL179" s="4"/>
      <c r="BM179" s="4">
        <f t="shared" si="6"/>
        <v>799.875</v>
      </c>
      <c r="BN179" s="15">
        <f t="shared" si="7"/>
        <v>625.875</v>
      </c>
      <c r="BO179" s="6"/>
      <c r="BP179" s="6" t="s">
        <v>24</v>
      </c>
      <c r="BQ179" s="6">
        <v>174</v>
      </c>
      <c r="BR179" s="6" t="s">
        <v>24</v>
      </c>
      <c r="BS179" s="6">
        <v>340</v>
      </c>
      <c r="BT179" s="6" t="s">
        <v>25</v>
      </c>
      <c r="BU179" s="6">
        <v>1034</v>
      </c>
      <c r="BV179" s="6" t="s">
        <v>26</v>
      </c>
      <c r="BW179" s="6">
        <v>5862</v>
      </c>
      <c r="BX179" s="6">
        <v>-4.0537161866224e-7</v>
      </c>
      <c r="BY179" s="6">
        <v>-4.12465525902506e-7</v>
      </c>
      <c r="BZ179" s="6">
        <v>1.2669237731228</v>
      </c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</row>
    <row r="180" spans="1:10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4"/>
      <c r="AM180" s="4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4"/>
      <c r="AZ180" s="4"/>
      <c r="BA180" s="6" t="s">
        <v>24</v>
      </c>
      <c r="BB180" s="6">
        <v>174</v>
      </c>
      <c r="BC180" s="6" t="s">
        <v>24</v>
      </c>
      <c r="BD180" s="6">
        <v>340</v>
      </c>
      <c r="BE180" s="6" t="s">
        <v>25</v>
      </c>
      <c r="BF180" s="6">
        <v>900</v>
      </c>
      <c r="BG180" s="6" t="s">
        <v>26</v>
      </c>
      <c r="BH180" s="6">
        <v>5046</v>
      </c>
      <c r="BI180" s="6">
        <v>-4.57648814164458e-7</v>
      </c>
      <c r="BJ180" s="6">
        <v>-5.13836445495087e-7</v>
      </c>
      <c r="BK180" s="6">
        <v>1.33839711814462</v>
      </c>
      <c r="BL180" s="4"/>
      <c r="BM180" s="4">
        <f t="shared" si="6"/>
        <v>856.855</v>
      </c>
      <c r="BN180" s="15">
        <f t="shared" si="7"/>
        <v>682.855</v>
      </c>
      <c r="BO180" s="6"/>
      <c r="BP180" s="6" t="s">
        <v>24</v>
      </c>
      <c r="BQ180" s="6">
        <v>174</v>
      </c>
      <c r="BR180" s="6" t="s">
        <v>24</v>
      </c>
      <c r="BS180" s="6">
        <v>340</v>
      </c>
      <c r="BT180" s="6" t="s">
        <v>25</v>
      </c>
      <c r="BU180" s="6">
        <v>1085</v>
      </c>
      <c r="BV180" s="6" t="s">
        <v>26</v>
      </c>
      <c r="BW180" s="6">
        <v>6156</v>
      </c>
      <c r="BX180" s="6">
        <v>-4.36530756399267e-7</v>
      </c>
      <c r="BY180" s="6">
        <v>-4.33928256573934e-7</v>
      </c>
      <c r="BZ180" s="6">
        <v>1.27153247235998</v>
      </c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</row>
    <row r="181" spans="1:10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4"/>
      <c r="AM181" s="4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4"/>
      <c r="AZ181" s="4"/>
      <c r="BA181" s="6" t="s">
        <v>24</v>
      </c>
      <c r="BB181" s="6">
        <v>174</v>
      </c>
      <c r="BC181" s="6" t="s">
        <v>24</v>
      </c>
      <c r="BD181" s="6">
        <v>340</v>
      </c>
      <c r="BE181" s="6" t="s">
        <v>25</v>
      </c>
      <c r="BF181" s="6">
        <v>961</v>
      </c>
      <c r="BG181" s="6" t="s">
        <v>26</v>
      </c>
      <c r="BH181" s="6">
        <v>5400</v>
      </c>
      <c r="BI181" s="6">
        <v>-4.08725034986529e-7</v>
      </c>
      <c r="BJ181" s="6">
        <v>-4.6503240128409e-7</v>
      </c>
      <c r="BK181" s="6">
        <v>1.32005504780253</v>
      </c>
      <c r="BL181" s="4"/>
      <c r="BM181" s="4">
        <f t="shared" si="6"/>
        <v>915.795</v>
      </c>
      <c r="BN181" s="15">
        <f t="shared" si="7"/>
        <v>741.795</v>
      </c>
      <c r="BO181" s="6"/>
      <c r="BP181" s="6" t="s">
        <v>24</v>
      </c>
      <c r="BQ181" s="6">
        <v>174</v>
      </c>
      <c r="BR181" s="6" t="s">
        <v>24</v>
      </c>
      <c r="BS181" s="6">
        <v>340</v>
      </c>
      <c r="BT181" s="6" t="s">
        <v>25</v>
      </c>
      <c r="BU181" s="6">
        <v>1177</v>
      </c>
      <c r="BV181" s="6" t="s">
        <v>26</v>
      </c>
      <c r="BW181" s="6">
        <v>6696</v>
      </c>
      <c r="BX181" s="6">
        <v>-3.94304423974733e-7</v>
      </c>
      <c r="BY181" s="6">
        <v>-3.97225865761593e-7</v>
      </c>
      <c r="BZ181" s="6">
        <v>1.25582232385001</v>
      </c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</row>
    <row r="182" spans="1:10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4"/>
      <c r="AM182" s="4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4"/>
      <c r="AZ182" s="4"/>
      <c r="BA182" s="6" t="s">
        <v>24</v>
      </c>
      <c r="BB182" s="6">
        <v>174</v>
      </c>
      <c r="BC182" s="6" t="s">
        <v>24</v>
      </c>
      <c r="BD182" s="6">
        <v>340</v>
      </c>
      <c r="BE182" s="6" t="s">
        <v>25</v>
      </c>
      <c r="BF182" s="6">
        <v>1024</v>
      </c>
      <c r="BG182" s="6" t="s">
        <v>26</v>
      </c>
      <c r="BH182" s="6">
        <v>5766</v>
      </c>
      <c r="BI182" s="6">
        <v>-4.13680057867955e-7</v>
      </c>
      <c r="BJ182" s="6">
        <v>-4.59045802413121e-7</v>
      </c>
      <c r="BK182" s="6">
        <v>1.31168394877457</v>
      </c>
      <c r="BL182" s="4"/>
      <c r="BM182" s="4">
        <f t="shared" si="6"/>
        <v>976.695</v>
      </c>
      <c r="BN182" s="15">
        <f t="shared" si="7"/>
        <v>802.695</v>
      </c>
      <c r="BO182" s="6"/>
      <c r="BP182" s="6" t="s">
        <v>24</v>
      </c>
      <c r="BQ182" s="6">
        <v>174</v>
      </c>
      <c r="BR182" s="6" t="s">
        <v>24</v>
      </c>
      <c r="BS182" s="6">
        <v>340</v>
      </c>
      <c r="BT182" s="6" t="s">
        <v>25</v>
      </c>
      <c r="BU182" s="6">
        <v>1243</v>
      </c>
      <c r="BV182" s="6" t="s">
        <v>26</v>
      </c>
      <c r="BW182" s="6">
        <v>7080</v>
      </c>
      <c r="BX182" s="6">
        <v>-3.94255476741397e-7</v>
      </c>
      <c r="BY182" s="6">
        <v>-3.89590046652906e-7</v>
      </c>
      <c r="BZ182" s="6">
        <v>1.2461889112158</v>
      </c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</row>
    <row r="183" spans="1:10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4"/>
      <c r="AM183" s="4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4"/>
      <c r="AZ183" s="4"/>
      <c r="BA183" s="6" t="s">
        <v>24</v>
      </c>
      <c r="BB183" s="6">
        <v>174</v>
      </c>
      <c r="BC183" s="6" t="s">
        <v>24</v>
      </c>
      <c r="BD183" s="6">
        <v>340</v>
      </c>
      <c r="BE183" s="6" t="s">
        <v>25</v>
      </c>
      <c r="BF183" s="6">
        <v>1089</v>
      </c>
      <c r="BG183" s="6" t="s">
        <v>26</v>
      </c>
      <c r="BH183" s="6">
        <v>6144</v>
      </c>
      <c r="BI183" s="6">
        <v>-3.82347905841292e-7</v>
      </c>
      <c r="BJ183" s="6">
        <v>-4.16075111152121e-7</v>
      </c>
      <c r="BK183" s="6">
        <v>1.28559981365406</v>
      </c>
      <c r="BL183" s="4"/>
      <c r="BM183" s="4">
        <f t="shared" si="6"/>
        <v>1039.555</v>
      </c>
      <c r="BN183" s="15">
        <f t="shared" si="7"/>
        <v>865.555</v>
      </c>
      <c r="BO183" s="6"/>
      <c r="BP183" s="6" t="s">
        <v>24</v>
      </c>
      <c r="BQ183" s="6">
        <v>174</v>
      </c>
      <c r="BR183" s="6" t="s">
        <v>24</v>
      </c>
      <c r="BS183" s="6">
        <v>340</v>
      </c>
      <c r="BT183" s="6" t="s">
        <v>25</v>
      </c>
      <c r="BU183" s="6">
        <v>1325</v>
      </c>
      <c r="BV183" s="6" t="s">
        <v>26</v>
      </c>
      <c r="BW183" s="6">
        <v>7560</v>
      </c>
      <c r="BX183" s="6">
        <v>-3.72471817983216e-7</v>
      </c>
      <c r="BY183" s="6">
        <v>-3.77705745219156e-7</v>
      </c>
      <c r="BZ183" s="6">
        <v>1.24664641973806</v>
      </c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</row>
    <row r="184" spans="1:10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4"/>
      <c r="AM184" s="4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4"/>
      <c r="AZ184" s="4"/>
      <c r="BA184" s="10" t="s">
        <v>32</v>
      </c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4"/>
      <c r="BM184" s="4"/>
      <c r="BN184" s="15"/>
      <c r="BO184" s="6"/>
      <c r="BP184" s="10" t="s">
        <v>32</v>
      </c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</row>
    <row r="185" ht="23.25" spans="1:10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4"/>
      <c r="AM185" s="4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4"/>
      <c r="AZ185" s="4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4"/>
      <c r="BM185" s="4"/>
      <c r="BN185" s="15"/>
      <c r="BO185" s="3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</row>
    <row r="186" ht="23.25" spans="1:10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4"/>
      <c r="AM186" s="4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4"/>
      <c r="AZ186" s="4"/>
      <c r="BA186" s="6" t="s">
        <v>12</v>
      </c>
      <c r="BB186" s="6" t="s">
        <v>13</v>
      </c>
      <c r="BC186" s="6" t="s">
        <v>14</v>
      </c>
      <c r="BD186" s="6" t="s">
        <v>15</v>
      </c>
      <c r="BE186" s="6" t="s">
        <v>16</v>
      </c>
      <c r="BF186" s="6" t="s">
        <v>17</v>
      </c>
      <c r="BG186" s="6" t="s">
        <v>18</v>
      </c>
      <c r="BH186" s="6" t="s">
        <v>19</v>
      </c>
      <c r="BI186" s="6" t="s">
        <v>20</v>
      </c>
      <c r="BJ186" s="6" t="s">
        <v>21</v>
      </c>
      <c r="BK186" s="6" t="s">
        <v>22</v>
      </c>
      <c r="BL186" s="4"/>
      <c r="BM186" s="4"/>
      <c r="BN186" s="15"/>
      <c r="BO186" s="3"/>
      <c r="BP186" s="6" t="s">
        <v>12</v>
      </c>
      <c r="BQ186" s="6" t="s">
        <v>13</v>
      </c>
      <c r="BR186" s="6" t="s">
        <v>14</v>
      </c>
      <c r="BS186" s="6" t="s">
        <v>15</v>
      </c>
      <c r="BT186" s="6" t="s">
        <v>16</v>
      </c>
      <c r="BU186" s="6" t="s">
        <v>17</v>
      </c>
      <c r="BV186" s="6" t="s">
        <v>18</v>
      </c>
      <c r="BW186" s="6" t="s">
        <v>19</v>
      </c>
      <c r="BX186" s="6" t="s">
        <v>20</v>
      </c>
      <c r="BY186" s="6" t="s">
        <v>21</v>
      </c>
      <c r="BZ186" s="6" t="s">
        <v>22</v>
      </c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</row>
    <row r="187" ht="23.25" spans="1:10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4"/>
      <c r="AM187" s="4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4"/>
      <c r="AZ187" s="4"/>
      <c r="BA187" s="6" t="s">
        <v>24</v>
      </c>
      <c r="BB187" s="6">
        <v>209</v>
      </c>
      <c r="BC187" s="6" t="s">
        <v>24</v>
      </c>
      <c r="BD187" s="6">
        <v>340</v>
      </c>
      <c r="BE187" s="6" t="s">
        <v>25</v>
      </c>
      <c r="BF187" s="6">
        <v>169</v>
      </c>
      <c r="BG187" s="6" t="s">
        <v>26</v>
      </c>
      <c r="BH187" s="6">
        <v>864</v>
      </c>
      <c r="BI187" s="6">
        <v>-1.41326210343018</v>
      </c>
      <c r="BJ187" s="6">
        <v>-1.60218150437499</v>
      </c>
      <c r="BK187" s="6">
        <v>-0.626292208626613</v>
      </c>
      <c r="BL187" s="4"/>
      <c r="BM187" s="4">
        <f t="shared" si="6"/>
        <v>149.52</v>
      </c>
      <c r="BN187" s="15">
        <f t="shared" si="7"/>
        <v>59.48</v>
      </c>
      <c r="BO187" s="4"/>
      <c r="BP187" s="6" t="s">
        <v>24</v>
      </c>
      <c r="BQ187" s="6">
        <v>209</v>
      </c>
      <c r="BR187" s="6" t="s">
        <v>24</v>
      </c>
      <c r="BS187" s="6">
        <v>340</v>
      </c>
      <c r="BT187" s="6" t="s">
        <v>25</v>
      </c>
      <c r="BU187" s="6">
        <v>209</v>
      </c>
      <c r="BV187" s="6" t="s">
        <v>26</v>
      </c>
      <c r="BW187" s="6">
        <v>1104</v>
      </c>
      <c r="BX187" s="6">
        <v>-2.26365255114135</v>
      </c>
      <c r="BY187" s="6">
        <v>-1.95604475240622</v>
      </c>
      <c r="BZ187" s="6">
        <v>-0.981019268091059</v>
      </c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</row>
    <row r="188" ht="23.25" spans="1:10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6" t="s">
        <v>24</v>
      </c>
      <c r="BB188" s="6">
        <v>209</v>
      </c>
      <c r="BC188" s="6" t="s">
        <v>24</v>
      </c>
      <c r="BD188" s="6">
        <v>340</v>
      </c>
      <c r="BE188" s="6" t="s">
        <v>25</v>
      </c>
      <c r="BF188" s="6">
        <v>196</v>
      </c>
      <c r="BG188" s="6" t="s">
        <v>26</v>
      </c>
      <c r="BH188" s="6">
        <v>1014</v>
      </c>
      <c r="BI188" s="6">
        <v>-1.8331478751134</v>
      </c>
      <c r="BJ188" s="6">
        <v>-1.79679915989784</v>
      </c>
      <c r="BK188" s="6">
        <v>-0.78610237522632</v>
      </c>
      <c r="BL188" s="4"/>
      <c r="BM188" s="4">
        <f t="shared" si="6"/>
        <v>176.595</v>
      </c>
      <c r="BN188" s="15">
        <f t="shared" si="7"/>
        <v>32.405</v>
      </c>
      <c r="BO188" s="6"/>
      <c r="BP188" s="6" t="s">
        <v>24</v>
      </c>
      <c r="BQ188" s="6">
        <v>209</v>
      </c>
      <c r="BR188" s="6" t="s">
        <v>24</v>
      </c>
      <c r="BS188" s="6">
        <v>340</v>
      </c>
      <c r="BT188" s="6" t="s">
        <v>25</v>
      </c>
      <c r="BU188" s="6">
        <v>238</v>
      </c>
      <c r="BV188" s="6" t="s">
        <v>26</v>
      </c>
      <c r="BW188" s="6">
        <v>1266</v>
      </c>
      <c r="BX188" s="6">
        <v>-2.25288294974372</v>
      </c>
      <c r="BY188" s="6">
        <v>-1.83812215777877</v>
      </c>
      <c r="BZ188" s="6">
        <v>-0.620701416393532</v>
      </c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</row>
    <row r="189" ht="23.25" spans="1:10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4"/>
      <c r="AM189" s="4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4"/>
      <c r="AZ189" s="4"/>
      <c r="BA189" s="11" t="s">
        <v>24</v>
      </c>
      <c r="BB189" s="11">
        <v>209</v>
      </c>
      <c r="BC189" s="11" t="s">
        <v>24</v>
      </c>
      <c r="BD189" s="11">
        <v>340</v>
      </c>
      <c r="BE189" s="11" t="s">
        <v>25</v>
      </c>
      <c r="BF189" s="11">
        <v>225</v>
      </c>
      <c r="BG189" s="11" t="s">
        <v>26</v>
      </c>
      <c r="BH189" s="11">
        <v>1176</v>
      </c>
      <c r="BI189" s="11">
        <v>-2.21930784747527</v>
      </c>
      <c r="BJ189" s="11">
        <v>-1.83029740414539</v>
      </c>
      <c r="BK189" s="11">
        <v>-0.626939807079849</v>
      </c>
      <c r="BL189" s="12"/>
      <c r="BM189" s="12">
        <f t="shared" si="6"/>
        <v>203.895</v>
      </c>
      <c r="BN189" s="15">
        <f t="shared" si="7"/>
        <v>5.10499999999993</v>
      </c>
      <c r="BO189" s="6"/>
      <c r="BP189" s="6" t="s">
        <v>24</v>
      </c>
      <c r="BQ189" s="6">
        <v>209</v>
      </c>
      <c r="BR189" s="6" t="s">
        <v>24</v>
      </c>
      <c r="BS189" s="6">
        <v>340</v>
      </c>
      <c r="BT189" s="6" t="s">
        <v>25</v>
      </c>
      <c r="BU189" s="6">
        <v>256</v>
      </c>
      <c r="BV189" s="6" t="s">
        <v>26</v>
      </c>
      <c r="BW189" s="6">
        <v>1362</v>
      </c>
      <c r="BX189" s="6">
        <v>-2.17591795086818</v>
      </c>
      <c r="BY189" s="6">
        <v>-1.7601201468854</v>
      </c>
      <c r="BZ189" s="6">
        <v>-0.431798187438768</v>
      </c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</row>
    <row r="190" spans="1:10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4"/>
      <c r="AZ190" s="4"/>
      <c r="BA190" s="6" t="s">
        <v>24</v>
      </c>
      <c r="BB190" s="6">
        <v>209</v>
      </c>
      <c r="BC190" s="6" t="s">
        <v>24</v>
      </c>
      <c r="BD190" s="6">
        <v>340</v>
      </c>
      <c r="BE190" s="6" t="s">
        <v>25</v>
      </c>
      <c r="BF190" s="6">
        <v>256</v>
      </c>
      <c r="BG190" s="6" t="s">
        <v>26</v>
      </c>
      <c r="BH190" s="6">
        <v>1350</v>
      </c>
      <c r="BI190" s="6">
        <v>-1.97733364921789</v>
      </c>
      <c r="BJ190" s="6">
        <v>-1.63913838283181</v>
      </c>
      <c r="BK190" s="6">
        <v>-0.157993738941334</v>
      </c>
      <c r="BL190" s="4"/>
      <c r="BM190" s="4">
        <f t="shared" si="6"/>
        <v>233.155</v>
      </c>
      <c r="BN190" s="15">
        <f t="shared" si="7"/>
        <v>24.155</v>
      </c>
      <c r="BO190" s="6"/>
      <c r="BP190" s="6" t="s">
        <v>24</v>
      </c>
      <c r="BQ190" s="6">
        <v>209</v>
      </c>
      <c r="BR190" s="6" t="s">
        <v>24</v>
      </c>
      <c r="BS190" s="6">
        <v>340</v>
      </c>
      <c r="BT190" s="6" t="s">
        <v>25</v>
      </c>
      <c r="BU190" s="6">
        <v>297</v>
      </c>
      <c r="BV190" s="6" t="s">
        <v>26</v>
      </c>
      <c r="BW190" s="6">
        <v>1596</v>
      </c>
      <c r="BX190" s="6">
        <v>-1.72571867827584</v>
      </c>
      <c r="BY190" s="6">
        <v>-1.44434885455295</v>
      </c>
      <c r="BZ190" s="6">
        <v>0.0594869627371868</v>
      </c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</row>
    <row r="191" spans="1:10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4"/>
      <c r="AM191" s="4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4"/>
      <c r="AZ191" s="4"/>
      <c r="BA191" s="6" t="s">
        <v>24</v>
      </c>
      <c r="BB191" s="6">
        <v>209</v>
      </c>
      <c r="BC191" s="6" t="s">
        <v>24</v>
      </c>
      <c r="BD191" s="6">
        <v>340</v>
      </c>
      <c r="BE191" s="6" t="s">
        <v>25</v>
      </c>
      <c r="BF191" s="6">
        <v>289</v>
      </c>
      <c r="BG191" s="6" t="s">
        <v>26</v>
      </c>
      <c r="BH191" s="6">
        <v>1536</v>
      </c>
      <c r="BI191" s="6">
        <v>-1.67419219759333</v>
      </c>
      <c r="BJ191" s="6">
        <v>-1.44346706264201</v>
      </c>
      <c r="BK191" s="6">
        <v>0.185399864539167</v>
      </c>
      <c r="BL191" s="4"/>
      <c r="BM191" s="4">
        <f t="shared" si="6"/>
        <v>264.375</v>
      </c>
      <c r="BN191" s="15">
        <f t="shared" si="7"/>
        <v>55.375</v>
      </c>
      <c r="BO191" s="6"/>
      <c r="BP191" s="6" t="s">
        <v>24</v>
      </c>
      <c r="BQ191" s="6">
        <v>209</v>
      </c>
      <c r="BR191" s="6" t="s">
        <v>24</v>
      </c>
      <c r="BS191" s="6">
        <v>340</v>
      </c>
      <c r="BT191" s="6" t="s">
        <v>25</v>
      </c>
      <c r="BU191" s="6">
        <v>340</v>
      </c>
      <c r="BV191" s="6" t="s">
        <v>26</v>
      </c>
      <c r="BW191" s="6">
        <v>1842</v>
      </c>
      <c r="BX191" s="6">
        <v>-1.63783464686111</v>
      </c>
      <c r="BY191" s="6">
        <v>-1.43172977433091</v>
      </c>
      <c r="BZ191" s="6">
        <v>-0.0592261580163826</v>
      </c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</row>
    <row r="192" spans="1:10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4"/>
      <c r="AM192" s="4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4"/>
      <c r="AZ192" s="4"/>
      <c r="BA192" s="6" t="s">
        <v>24</v>
      </c>
      <c r="BB192" s="6">
        <v>209</v>
      </c>
      <c r="BC192" s="6" t="s">
        <v>24</v>
      </c>
      <c r="BD192" s="6">
        <v>340</v>
      </c>
      <c r="BE192" s="6" t="s">
        <v>25</v>
      </c>
      <c r="BF192" s="6">
        <v>324</v>
      </c>
      <c r="BG192" s="6" t="s">
        <v>26</v>
      </c>
      <c r="BH192" s="6">
        <v>1734</v>
      </c>
      <c r="BI192" s="6">
        <v>-1.34693280205797</v>
      </c>
      <c r="BJ192" s="6">
        <v>-1.21843461034132</v>
      </c>
      <c r="BK192" s="6">
        <v>0.495617494840632</v>
      </c>
      <c r="BL192" s="4"/>
      <c r="BM192" s="4">
        <f t="shared" si="6"/>
        <v>297.555</v>
      </c>
      <c r="BN192" s="15">
        <f t="shared" si="7"/>
        <v>88.5550000000001</v>
      </c>
      <c r="BO192" s="6"/>
      <c r="BP192" s="6" t="s">
        <v>24</v>
      </c>
      <c r="BQ192" s="6">
        <v>209</v>
      </c>
      <c r="BR192" s="6" t="s">
        <v>24</v>
      </c>
      <c r="BS192" s="6">
        <v>340</v>
      </c>
      <c r="BT192" s="6" t="s">
        <v>25</v>
      </c>
      <c r="BU192" s="6">
        <v>380</v>
      </c>
      <c r="BV192" s="6" t="s">
        <v>26</v>
      </c>
      <c r="BW192" s="6">
        <v>2070</v>
      </c>
      <c r="BX192" s="6">
        <v>-0.608864972885989</v>
      </c>
      <c r="BY192" s="6">
        <v>-0.553936868099754</v>
      </c>
      <c r="BZ192" s="6">
        <v>1.52635081824378</v>
      </c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</row>
    <row r="193" spans="1:10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4"/>
      <c r="AM193" s="4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4"/>
      <c r="AZ193" s="4"/>
      <c r="BA193" s="6" t="s">
        <v>24</v>
      </c>
      <c r="BB193" s="6">
        <v>209</v>
      </c>
      <c r="BC193" s="6" t="s">
        <v>24</v>
      </c>
      <c r="BD193" s="6">
        <v>340</v>
      </c>
      <c r="BE193" s="6" t="s">
        <v>25</v>
      </c>
      <c r="BF193" s="6">
        <v>361</v>
      </c>
      <c r="BG193" s="6" t="s">
        <v>26</v>
      </c>
      <c r="BH193" s="6">
        <v>1944</v>
      </c>
      <c r="BI193" s="6">
        <v>-0.86524328813954</v>
      </c>
      <c r="BJ193" s="6">
        <v>-0.774603991263072</v>
      </c>
      <c r="BK193" s="6">
        <v>1.24810870803382</v>
      </c>
      <c r="BL193" s="4"/>
      <c r="BM193" s="4">
        <f t="shared" si="6"/>
        <v>332.695</v>
      </c>
      <c r="BN193" s="15">
        <f t="shared" si="7"/>
        <v>123.695</v>
      </c>
      <c r="BO193" s="6"/>
      <c r="BP193" s="6" t="s">
        <v>24</v>
      </c>
      <c r="BQ193" s="6">
        <v>209</v>
      </c>
      <c r="BR193" s="6" t="s">
        <v>24</v>
      </c>
      <c r="BS193" s="6">
        <v>340</v>
      </c>
      <c r="BT193" s="6" t="s">
        <v>25</v>
      </c>
      <c r="BU193" s="6">
        <v>435</v>
      </c>
      <c r="BV193" s="6" t="s">
        <v>26</v>
      </c>
      <c r="BW193" s="6">
        <v>2388</v>
      </c>
      <c r="BX193" s="6">
        <v>-0.0401171439072327</v>
      </c>
      <c r="BY193" s="6">
        <v>-0.0366185610559094</v>
      </c>
      <c r="BZ193" s="6">
        <v>2.51038437532337</v>
      </c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</row>
    <row r="194" spans="1:10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4"/>
      <c r="AM194" s="4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4"/>
      <c r="AZ194" s="4"/>
      <c r="BA194" s="6" t="s">
        <v>24</v>
      </c>
      <c r="BB194" s="6">
        <v>209</v>
      </c>
      <c r="BC194" s="6" t="s">
        <v>24</v>
      </c>
      <c r="BD194" s="6">
        <v>340</v>
      </c>
      <c r="BE194" s="6" t="s">
        <v>25</v>
      </c>
      <c r="BF194" s="6">
        <v>400</v>
      </c>
      <c r="BG194" s="6" t="s">
        <v>26</v>
      </c>
      <c r="BH194" s="6">
        <v>2166</v>
      </c>
      <c r="BI194" s="6">
        <v>-0.33144635809595</v>
      </c>
      <c r="BJ194" s="6">
        <v>-0.296614932258358</v>
      </c>
      <c r="BK194" s="6">
        <v>1.90525103493027</v>
      </c>
      <c r="BL194" s="4"/>
      <c r="BM194" s="4">
        <f t="shared" si="6"/>
        <v>369.795</v>
      </c>
      <c r="BN194" s="15">
        <f t="shared" si="7"/>
        <v>160.795</v>
      </c>
      <c r="BO194" s="6"/>
      <c r="BP194" s="6" t="s">
        <v>24</v>
      </c>
      <c r="BQ194" s="6">
        <v>209</v>
      </c>
      <c r="BR194" s="6" t="s">
        <v>24</v>
      </c>
      <c r="BS194" s="6">
        <v>340</v>
      </c>
      <c r="BT194" s="6" t="s">
        <v>25</v>
      </c>
      <c r="BU194" s="6">
        <v>485</v>
      </c>
      <c r="BV194" s="6" t="s">
        <v>26</v>
      </c>
      <c r="BW194" s="6">
        <v>2676</v>
      </c>
      <c r="BX194" s="6">
        <v>-1.94544096648965e-6</v>
      </c>
      <c r="BY194" s="6">
        <v>-3.10786598728652e-6</v>
      </c>
      <c r="BZ194" s="6">
        <v>1.77307563177781</v>
      </c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</row>
    <row r="195" spans="1:10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4"/>
      <c r="AM195" s="4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4"/>
      <c r="AZ195" s="4"/>
      <c r="BA195" s="6" t="s">
        <v>24</v>
      </c>
      <c r="BB195" s="6">
        <v>209</v>
      </c>
      <c r="BC195" s="6" t="s">
        <v>24</v>
      </c>
      <c r="BD195" s="6">
        <v>340</v>
      </c>
      <c r="BE195" s="6" t="s">
        <v>25</v>
      </c>
      <c r="BF195" s="6">
        <v>441</v>
      </c>
      <c r="BG195" s="6" t="s">
        <v>26</v>
      </c>
      <c r="BH195" s="6">
        <v>2400</v>
      </c>
      <c r="BI195" s="6">
        <v>-0.00380661760805699</v>
      </c>
      <c r="BJ195" s="6">
        <v>-0.00315091760398658</v>
      </c>
      <c r="BK195" s="6">
        <v>2.80099494062037</v>
      </c>
      <c r="BL195" s="4"/>
      <c r="BM195" s="4">
        <f t="shared" si="6"/>
        <v>411.72</v>
      </c>
      <c r="BN195" s="15">
        <f t="shared" si="7"/>
        <v>202.72</v>
      </c>
      <c r="BO195" s="6"/>
      <c r="BP195" s="6" t="s">
        <v>24</v>
      </c>
      <c r="BQ195" s="6">
        <v>209</v>
      </c>
      <c r="BR195" s="6" t="s">
        <v>24</v>
      </c>
      <c r="BS195" s="6">
        <v>340</v>
      </c>
      <c r="BT195" s="6" t="s">
        <v>25</v>
      </c>
      <c r="BU195" s="6">
        <v>564</v>
      </c>
      <c r="BV195" s="6" t="s">
        <v>26</v>
      </c>
      <c r="BW195" s="6">
        <v>3138</v>
      </c>
      <c r="BX195" s="6">
        <v>-1.3159304494142e-6</v>
      </c>
      <c r="BY195" s="6">
        <v>-1.68094886948224e-6</v>
      </c>
      <c r="BZ195" s="6">
        <v>1.61213759645981</v>
      </c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</row>
    <row r="196" spans="1:10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4"/>
      <c r="AM196" s="4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4"/>
      <c r="AZ196" s="4"/>
      <c r="BA196" s="6" t="s">
        <v>24</v>
      </c>
      <c r="BB196" s="6">
        <v>209</v>
      </c>
      <c r="BC196" s="6" t="s">
        <v>24</v>
      </c>
      <c r="BD196" s="6">
        <v>340</v>
      </c>
      <c r="BE196" s="6" t="s">
        <v>25</v>
      </c>
      <c r="BF196" s="6">
        <v>484</v>
      </c>
      <c r="BG196" s="6" t="s">
        <v>26</v>
      </c>
      <c r="BH196" s="6">
        <v>2646</v>
      </c>
      <c r="BI196" s="6">
        <v>-2.0721041788605e-6</v>
      </c>
      <c r="BJ196" s="6">
        <v>-6.82093134000007e-6</v>
      </c>
      <c r="BK196" s="6">
        <v>1.99518215229558</v>
      </c>
      <c r="BL196" s="4"/>
      <c r="BM196" s="4">
        <f t="shared" si="6"/>
        <v>452.88</v>
      </c>
      <c r="BN196" s="15">
        <f t="shared" si="7"/>
        <v>243.88</v>
      </c>
      <c r="BO196" s="6"/>
      <c r="BP196" s="6" t="s">
        <v>24</v>
      </c>
      <c r="BQ196" s="6">
        <v>209</v>
      </c>
      <c r="BR196" s="6" t="s">
        <v>24</v>
      </c>
      <c r="BS196" s="6">
        <v>340</v>
      </c>
      <c r="BT196" s="6" t="s">
        <v>25</v>
      </c>
      <c r="BU196" s="6">
        <v>598</v>
      </c>
      <c r="BV196" s="6" t="s">
        <v>26</v>
      </c>
      <c r="BW196" s="6">
        <v>3330</v>
      </c>
      <c r="BX196" s="6">
        <v>-8.04603823298679e-7</v>
      </c>
      <c r="BY196" s="6">
        <v>-1.12974949356031e-6</v>
      </c>
      <c r="BZ196" s="6">
        <v>1.53896916165141</v>
      </c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</row>
    <row r="197" spans="1:10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4"/>
      <c r="AM197" s="4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4"/>
      <c r="AZ197" s="4"/>
      <c r="BA197" s="6" t="s">
        <v>24</v>
      </c>
      <c r="BB197" s="6">
        <v>209</v>
      </c>
      <c r="BC197" s="6" t="s">
        <v>24</v>
      </c>
      <c r="BD197" s="6">
        <v>340</v>
      </c>
      <c r="BE197" s="6" t="s">
        <v>25</v>
      </c>
      <c r="BF197" s="6">
        <v>529</v>
      </c>
      <c r="BG197" s="6" t="s">
        <v>26</v>
      </c>
      <c r="BH197" s="6">
        <v>2904</v>
      </c>
      <c r="BI197" s="6">
        <v>-7.78732427744072e-7</v>
      </c>
      <c r="BJ197" s="6">
        <v>-2.62651115399694e-6</v>
      </c>
      <c r="BK197" s="6">
        <v>1.80595615403998</v>
      </c>
      <c r="BL197" s="4"/>
      <c r="BM197" s="4">
        <f t="shared" si="6"/>
        <v>496</v>
      </c>
      <c r="BN197" s="15">
        <f t="shared" si="7"/>
        <v>287</v>
      </c>
      <c r="BO197" s="6"/>
      <c r="BP197" s="6" t="s">
        <v>24</v>
      </c>
      <c r="BQ197" s="6">
        <v>209</v>
      </c>
      <c r="BR197" s="6" t="s">
        <v>24</v>
      </c>
      <c r="BS197" s="6">
        <v>340</v>
      </c>
      <c r="BT197" s="6" t="s">
        <v>25</v>
      </c>
      <c r="BU197" s="6">
        <v>668</v>
      </c>
      <c r="BV197" s="6" t="s">
        <v>26</v>
      </c>
      <c r="BW197" s="6">
        <v>3738</v>
      </c>
      <c r="BX197" s="6">
        <v>-1.05892853859954e-6</v>
      </c>
      <c r="BY197" s="6">
        <v>-1.12741029983087e-6</v>
      </c>
      <c r="BZ197" s="6">
        <v>1.4877547505646</v>
      </c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</row>
    <row r="198" spans="1:10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4"/>
      <c r="AM198" s="4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4"/>
      <c r="AZ198" s="4"/>
      <c r="BA198" s="6" t="s">
        <v>24</v>
      </c>
      <c r="BB198" s="6">
        <v>209</v>
      </c>
      <c r="BC198" s="6" t="s">
        <v>24</v>
      </c>
      <c r="BD198" s="6">
        <v>340</v>
      </c>
      <c r="BE198" s="6" t="s">
        <v>25</v>
      </c>
      <c r="BF198" s="6">
        <v>576</v>
      </c>
      <c r="BG198" s="6" t="s">
        <v>26</v>
      </c>
      <c r="BH198" s="6">
        <v>3174</v>
      </c>
      <c r="BI198" s="6">
        <v>-1.85466051249349e-6</v>
      </c>
      <c r="BJ198" s="6">
        <v>-2.69892864625038e-6</v>
      </c>
      <c r="BK198" s="6">
        <v>1.7390113646627</v>
      </c>
      <c r="BL198" s="4"/>
      <c r="BM198" s="4">
        <f t="shared" si="6"/>
        <v>541.08</v>
      </c>
      <c r="BN198" s="15">
        <f t="shared" si="7"/>
        <v>332.08</v>
      </c>
      <c r="BO198" s="6"/>
      <c r="BP198" s="6" t="s">
        <v>24</v>
      </c>
      <c r="BQ198" s="6">
        <v>209</v>
      </c>
      <c r="BR198" s="6" t="s">
        <v>24</v>
      </c>
      <c r="BS198" s="6">
        <v>340</v>
      </c>
      <c r="BT198" s="6" t="s">
        <v>25</v>
      </c>
      <c r="BU198" s="6">
        <v>741</v>
      </c>
      <c r="BV198" s="6" t="s">
        <v>26</v>
      </c>
      <c r="BW198" s="6">
        <v>4164</v>
      </c>
      <c r="BX198" s="6">
        <v>-7.10442024173623e-7</v>
      </c>
      <c r="BY198" s="6">
        <v>-7.88691374655094e-7</v>
      </c>
      <c r="BZ198" s="6">
        <v>1.41980892168164</v>
      </c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</row>
    <row r="199" spans="1:10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4"/>
      <c r="AM199" s="4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4"/>
      <c r="AZ199" s="4"/>
      <c r="BA199" s="6" t="s">
        <v>24</v>
      </c>
      <c r="BB199" s="6">
        <v>209</v>
      </c>
      <c r="BC199" s="6" t="s">
        <v>24</v>
      </c>
      <c r="BD199" s="6">
        <v>340</v>
      </c>
      <c r="BE199" s="6" t="s">
        <v>25</v>
      </c>
      <c r="BF199" s="6">
        <v>625</v>
      </c>
      <c r="BG199" s="6" t="s">
        <v>26</v>
      </c>
      <c r="BH199" s="6">
        <v>3456</v>
      </c>
      <c r="BI199" s="6">
        <v>-6.51806445646144e-7</v>
      </c>
      <c r="BJ199" s="6">
        <v>-1.23435985261869e-6</v>
      </c>
      <c r="BK199" s="6">
        <v>1.60301459338714</v>
      </c>
      <c r="BL199" s="4"/>
      <c r="BM199" s="4">
        <f t="shared" si="6"/>
        <v>588.12</v>
      </c>
      <c r="BN199" s="15">
        <f t="shared" si="7"/>
        <v>379.12</v>
      </c>
      <c r="BO199" s="6"/>
      <c r="BP199" s="6" t="s">
        <v>24</v>
      </c>
      <c r="BQ199" s="6">
        <v>209</v>
      </c>
      <c r="BR199" s="6" t="s">
        <v>24</v>
      </c>
      <c r="BS199" s="6">
        <v>340</v>
      </c>
      <c r="BT199" s="6" t="s">
        <v>25</v>
      </c>
      <c r="BU199" s="6">
        <v>797</v>
      </c>
      <c r="BV199" s="6" t="s">
        <v>26</v>
      </c>
      <c r="BW199" s="6">
        <v>4488</v>
      </c>
      <c r="BX199" s="6">
        <v>-6.83011447288976e-7</v>
      </c>
      <c r="BY199" s="6">
        <v>-7.73023863024666e-7</v>
      </c>
      <c r="BZ199" s="6">
        <v>1.41864546999636</v>
      </c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</row>
    <row r="200" spans="1:10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4"/>
      <c r="AM200" s="4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4"/>
      <c r="AZ200" s="4"/>
      <c r="BA200" s="6" t="s">
        <v>24</v>
      </c>
      <c r="BB200" s="6">
        <v>209</v>
      </c>
      <c r="BC200" s="6" t="s">
        <v>24</v>
      </c>
      <c r="BD200" s="6">
        <v>340</v>
      </c>
      <c r="BE200" s="6" t="s">
        <v>25</v>
      </c>
      <c r="BF200" s="6">
        <v>676</v>
      </c>
      <c r="BG200" s="6" t="s">
        <v>26</v>
      </c>
      <c r="BH200" s="6">
        <v>3750</v>
      </c>
      <c r="BI200" s="6">
        <v>-1.14820871174024e-6</v>
      </c>
      <c r="BJ200" s="6">
        <v>-1.52947185101392e-6</v>
      </c>
      <c r="BK200" s="6">
        <v>1.60362468066947</v>
      </c>
      <c r="BL200" s="4"/>
      <c r="BM200" s="4">
        <f t="shared" si="6"/>
        <v>637.12</v>
      </c>
      <c r="BN200" s="15">
        <f t="shared" si="7"/>
        <v>428.12</v>
      </c>
      <c r="BO200" s="6"/>
      <c r="BP200" s="6" t="s">
        <v>24</v>
      </c>
      <c r="BQ200" s="6">
        <v>209</v>
      </c>
      <c r="BR200" s="6" t="s">
        <v>24</v>
      </c>
      <c r="BS200" s="6">
        <v>340</v>
      </c>
      <c r="BT200" s="6" t="s">
        <v>25</v>
      </c>
      <c r="BU200" s="6">
        <v>861</v>
      </c>
      <c r="BV200" s="6" t="s">
        <v>26</v>
      </c>
      <c r="BW200" s="6">
        <v>4860</v>
      </c>
      <c r="BX200" s="6">
        <v>-6.75870478401008e-7</v>
      </c>
      <c r="BY200" s="6">
        <v>-7.07249933090477e-7</v>
      </c>
      <c r="BZ200" s="6">
        <v>1.38225507010345</v>
      </c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</row>
    <row r="201" spans="1:10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4"/>
      <c r="AM201" s="4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4"/>
      <c r="AZ201" s="4"/>
      <c r="BA201" s="6" t="s">
        <v>24</v>
      </c>
      <c r="BB201" s="6">
        <v>209</v>
      </c>
      <c r="BC201" s="6" t="s">
        <v>24</v>
      </c>
      <c r="BD201" s="6">
        <v>340</v>
      </c>
      <c r="BE201" s="6" t="s">
        <v>25</v>
      </c>
      <c r="BF201" s="6">
        <v>729</v>
      </c>
      <c r="BG201" s="6" t="s">
        <v>26</v>
      </c>
      <c r="BH201" s="6">
        <v>4056</v>
      </c>
      <c r="BI201" s="6">
        <v>-5.23346374429996e-7</v>
      </c>
      <c r="BJ201" s="6">
        <v>-9.01114667592438e-7</v>
      </c>
      <c r="BK201" s="6">
        <v>1.51767492037248</v>
      </c>
      <c r="BL201" s="4"/>
      <c r="BM201" s="4">
        <f t="shared" si="6"/>
        <v>688.08</v>
      </c>
      <c r="BN201" s="15">
        <f t="shared" si="7"/>
        <v>479.08</v>
      </c>
      <c r="BO201" s="6"/>
      <c r="BP201" s="6" t="s">
        <v>24</v>
      </c>
      <c r="BQ201" s="6">
        <v>209</v>
      </c>
      <c r="BR201" s="6" t="s">
        <v>24</v>
      </c>
      <c r="BS201" s="6">
        <v>340</v>
      </c>
      <c r="BT201" s="6" t="s">
        <v>25</v>
      </c>
      <c r="BU201" s="6">
        <v>927</v>
      </c>
      <c r="BV201" s="6" t="s">
        <v>26</v>
      </c>
      <c r="BW201" s="6">
        <v>5244</v>
      </c>
      <c r="BX201" s="6">
        <v>-6.4065375571726e-7</v>
      </c>
      <c r="BY201" s="6">
        <v>-6.60994612956047e-7</v>
      </c>
      <c r="BZ201" s="6">
        <v>1.36443913118094</v>
      </c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</row>
    <row r="202" spans="1:10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4"/>
      <c r="AM202" s="4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4"/>
      <c r="AZ202" s="4"/>
      <c r="BA202" s="6" t="s">
        <v>24</v>
      </c>
      <c r="BB202" s="6">
        <v>209</v>
      </c>
      <c r="BC202" s="6" t="s">
        <v>24</v>
      </c>
      <c r="BD202" s="6">
        <v>340</v>
      </c>
      <c r="BE202" s="6" t="s">
        <v>25</v>
      </c>
      <c r="BF202" s="6">
        <v>784</v>
      </c>
      <c r="BG202" s="6" t="s">
        <v>26</v>
      </c>
      <c r="BH202" s="6">
        <v>4374</v>
      </c>
      <c r="BI202" s="6">
        <v>-8.15798851300241e-7</v>
      </c>
      <c r="BJ202" s="6">
        <v>-1.04477034593839e-6</v>
      </c>
      <c r="BK202" s="6">
        <v>1.50748334303906</v>
      </c>
      <c r="BL202" s="4"/>
      <c r="BM202" s="4">
        <f t="shared" si="6"/>
        <v>744.855</v>
      </c>
      <c r="BN202" s="15">
        <f t="shared" si="7"/>
        <v>535.855</v>
      </c>
      <c r="BO202" s="6"/>
      <c r="BP202" s="6" t="s">
        <v>24</v>
      </c>
      <c r="BQ202" s="6">
        <v>209</v>
      </c>
      <c r="BR202" s="6" t="s">
        <v>24</v>
      </c>
      <c r="BS202" s="6">
        <v>340</v>
      </c>
      <c r="BT202" s="6" t="s">
        <v>25</v>
      </c>
      <c r="BU202" s="6">
        <v>977</v>
      </c>
      <c r="BV202" s="6" t="s">
        <v>26</v>
      </c>
      <c r="BW202" s="6">
        <v>5532</v>
      </c>
      <c r="BX202" s="6">
        <v>-6.1982255663299e-7</v>
      </c>
      <c r="BY202" s="6">
        <v>-6.39812553354088e-7</v>
      </c>
      <c r="BZ202" s="6">
        <v>1.35681111976777</v>
      </c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</row>
    <row r="203" spans="1:10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4"/>
      <c r="AM203" s="4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4"/>
      <c r="AZ203" s="4"/>
      <c r="BA203" s="6" t="s">
        <v>24</v>
      </c>
      <c r="BB203" s="6">
        <v>209</v>
      </c>
      <c r="BC203" s="6" t="s">
        <v>24</v>
      </c>
      <c r="BD203" s="6">
        <v>340</v>
      </c>
      <c r="BE203" s="6" t="s">
        <v>25</v>
      </c>
      <c r="BF203" s="6">
        <v>841</v>
      </c>
      <c r="BG203" s="6" t="s">
        <v>26</v>
      </c>
      <c r="BH203" s="6">
        <v>4704</v>
      </c>
      <c r="BI203" s="6">
        <v>-6.87080594206059e-7</v>
      </c>
      <c r="BJ203" s="6">
        <v>-8.02313408733252e-7</v>
      </c>
      <c r="BK203" s="6">
        <v>1.43469315428622</v>
      </c>
      <c r="BL203" s="4"/>
      <c r="BM203" s="4">
        <f t="shared" si="6"/>
        <v>799.875</v>
      </c>
      <c r="BN203" s="15">
        <f t="shared" si="7"/>
        <v>590.875</v>
      </c>
      <c r="BO203" s="6"/>
      <c r="BP203" s="6" t="s">
        <v>24</v>
      </c>
      <c r="BQ203" s="6">
        <v>209</v>
      </c>
      <c r="BR203" s="6" t="s">
        <v>24</v>
      </c>
      <c r="BS203" s="6">
        <v>340</v>
      </c>
      <c r="BT203" s="6" t="s">
        <v>25</v>
      </c>
      <c r="BU203" s="6">
        <v>1034</v>
      </c>
      <c r="BV203" s="6" t="s">
        <v>26</v>
      </c>
      <c r="BW203" s="6">
        <v>5862</v>
      </c>
      <c r="BX203" s="6">
        <v>-6.31233234375447e-7</v>
      </c>
      <c r="BY203" s="6">
        <v>-6.47119717226424e-7</v>
      </c>
      <c r="BZ203" s="6">
        <v>1.35761784575798</v>
      </c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</row>
    <row r="204" spans="1:1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4"/>
      <c r="AM204" s="4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4"/>
      <c r="AZ204" s="4"/>
      <c r="BA204" s="6" t="s">
        <v>24</v>
      </c>
      <c r="BB204" s="6">
        <v>209</v>
      </c>
      <c r="BC204" s="6" t="s">
        <v>24</v>
      </c>
      <c r="BD204" s="6">
        <v>340</v>
      </c>
      <c r="BE204" s="6" t="s">
        <v>25</v>
      </c>
      <c r="BF204" s="6">
        <v>900</v>
      </c>
      <c r="BG204" s="6" t="s">
        <v>26</v>
      </c>
      <c r="BH204" s="6">
        <v>5046</v>
      </c>
      <c r="BI204" s="6">
        <v>-7.36092913758947e-7</v>
      </c>
      <c r="BJ204" s="6">
        <v>-7.79814999033335e-7</v>
      </c>
      <c r="BK204" s="6">
        <v>1.40707784701557</v>
      </c>
      <c r="BL204" s="4"/>
      <c r="BM204" s="4">
        <f t="shared" si="6"/>
        <v>856.855</v>
      </c>
      <c r="BN204" s="15">
        <f t="shared" si="7"/>
        <v>647.855</v>
      </c>
      <c r="BO204" s="6"/>
      <c r="BP204" s="6" t="s">
        <v>24</v>
      </c>
      <c r="BQ204" s="6">
        <v>209</v>
      </c>
      <c r="BR204" s="6" t="s">
        <v>24</v>
      </c>
      <c r="BS204" s="6">
        <v>340</v>
      </c>
      <c r="BT204" s="6" t="s">
        <v>25</v>
      </c>
      <c r="BU204" s="6">
        <v>1085</v>
      </c>
      <c r="BV204" s="6" t="s">
        <v>26</v>
      </c>
      <c r="BW204" s="6">
        <v>6156</v>
      </c>
      <c r="BX204" s="6">
        <v>-6.00001027771283e-7</v>
      </c>
      <c r="BY204" s="6">
        <v>-6.25997985653691e-7</v>
      </c>
      <c r="BZ204" s="6">
        <v>1.35510976108428</v>
      </c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</row>
    <row r="205" spans="1:10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4"/>
      <c r="AM205" s="4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4"/>
      <c r="AZ205" s="4"/>
      <c r="BA205" s="6" t="s">
        <v>24</v>
      </c>
      <c r="BB205" s="6">
        <v>209</v>
      </c>
      <c r="BC205" s="6" t="s">
        <v>24</v>
      </c>
      <c r="BD205" s="6">
        <v>340</v>
      </c>
      <c r="BE205" s="6" t="s">
        <v>25</v>
      </c>
      <c r="BF205" s="6">
        <v>961</v>
      </c>
      <c r="BG205" s="6" t="s">
        <v>26</v>
      </c>
      <c r="BH205" s="6">
        <v>5400</v>
      </c>
      <c r="BI205" s="6">
        <v>-6.91105413271474e-7</v>
      </c>
      <c r="BJ205" s="6">
        <v>-7.14653646866937e-7</v>
      </c>
      <c r="BK205" s="6">
        <v>1.38224205156247</v>
      </c>
      <c r="BL205" s="4"/>
      <c r="BM205" s="4">
        <f t="shared" si="6"/>
        <v>915.795</v>
      </c>
      <c r="BN205" s="15">
        <f t="shared" si="7"/>
        <v>706.795</v>
      </c>
      <c r="BO205" s="6"/>
      <c r="BP205" s="6" t="s">
        <v>24</v>
      </c>
      <c r="BQ205" s="6">
        <v>209</v>
      </c>
      <c r="BR205" s="6" t="s">
        <v>24</v>
      </c>
      <c r="BS205" s="6">
        <v>340</v>
      </c>
      <c r="BT205" s="6" t="s">
        <v>25</v>
      </c>
      <c r="BU205" s="6">
        <v>1177</v>
      </c>
      <c r="BV205" s="6" t="s">
        <v>26</v>
      </c>
      <c r="BW205" s="6">
        <v>6696</v>
      </c>
      <c r="BX205" s="6">
        <v>-5.89806777297347e-7</v>
      </c>
      <c r="BY205" s="6">
        <v>-6.01558886483645e-7</v>
      </c>
      <c r="BZ205" s="6">
        <v>1.3406112550073</v>
      </c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</row>
    <row r="206" spans="1:10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4"/>
      <c r="AM206" s="4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4"/>
      <c r="AZ206" s="4"/>
      <c r="BA206" s="6" t="s">
        <v>24</v>
      </c>
      <c r="BB206" s="6">
        <v>209</v>
      </c>
      <c r="BC206" s="6" t="s">
        <v>24</v>
      </c>
      <c r="BD206" s="6">
        <v>340</v>
      </c>
      <c r="BE206" s="6" t="s">
        <v>25</v>
      </c>
      <c r="BF206" s="6">
        <v>1024</v>
      </c>
      <c r="BG206" s="6" t="s">
        <v>26</v>
      </c>
      <c r="BH206" s="6">
        <v>5766</v>
      </c>
      <c r="BI206" s="6">
        <v>-6.03309001892713e-7</v>
      </c>
      <c r="BJ206" s="6">
        <v>-6.36642669837689e-7</v>
      </c>
      <c r="BK206" s="6">
        <v>1.36184785940808</v>
      </c>
      <c r="BL206" s="4"/>
      <c r="BM206" s="4">
        <f t="shared" ref="BM206:BM269" si="8">(FLOOR(((SQRT(1+8*BF206)-3))/2,0.1)*(FLOOR(((SQRT(1+8*BF206)-3))/2,0.1)+1))/2</f>
        <v>976.695</v>
      </c>
      <c r="BN206" s="15">
        <f t="shared" si="7"/>
        <v>767.695</v>
      </c>
      <c r="BO206" s="6"/>
      <c r="BP206" s="6" t="s">
        <v>24</v>
      </c>
      <c r="BQ206" s="6">
        <v>209</v>
      </c>
      <c r="BR206" s="6" t="s">
        <v>24</v>
      </c>
      <c r="BS206" s="6">
        <v>340</v>
      </c>
      <c r="BT206" s="6" t="s">
        <v>25</v>
      </c>
      <c r="BU206" s="6">
        <v>1243</v>
      </c>
      <c r="BV206" s="6" t="s">
        <v>26</v>
      </c>
      <c r="BW206" s="6">
        <v>7080</v>
      </c>
      <c r="BX206" s="6">
        <v>-5.7943600562364e-7</v>
      </c>
      <c r="BY206" s="6">
        <v>-5.90406361636362e-7</v>
      </c>
      <c r="BZ206" s="6">
        <v>1.33637979906319</v>
      </c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</row>
    <row r="207" spans="1:10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4"/>
      <c r="AM207" s="4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4"/>
      <c r="AZ207" s="4"/>
      <c r="BA207" s="6" t="s">
        <v>24</v>
      </c>
      <c r="BB207" s="6">
        <v>209</v>
      </c>
      <c r="BC207" s="6" t="s">
        <v>24</v>
      </c>
      <c r="BD207" s="6">
        <v>340</v>
      </c>
      <c r="BE207" s="6" t="s">
        <v>25</v>
      </c>
      <c r="BF207" s="6">
        <v>1089</v>
      </c>
      <c r="BG207" s="6" t="s">
        <v>26</v>
      </c>
      <c r="BH207" s="6">
        <v>6144</v>
      </c>
      <c r="BI207" s="6">
        <v>-6.36353239205322e-7</v>
      </c>
      <c r="BJ207" s="6">
        <v>-6.65640580739287e-7</v>
      </c>
      <c r="BK207" s="6">
        <v>1.36869315510186</v>
      </c>
      <c r="BL207" s="4"/>
      <c r="BM207" s="4">
        <f t="shared" si="8"/>
        <v>1039.555</v>
      </c>
      <c r="BN207" s="15">
        <f t="shared" si="7"/>
        <v>830.555</v>
      </c>
      <c r="BO207" s="6"/>
      <c r="BP207" s="6" t="s">
        <v>24</v>
      </c>
      <c r="BQ207" s="6">
        <v>209</v>
      </c>
      <c r="BR207" s="6" t="s">
        <v>24</v>
      </c>
      <c r="BS207" s="6">
        <v>340</v>
      </c>
      <c r="BT207" s="6" t="s">
        <v>25</v>
      </c>
      <c r="BU207" s="6">
        <v>1325</v>
      </c>
      <c r="BV207" s="6" t="s">
        <v>26</v>
      </c>
      <c r="BW207" s="6">
        <v>7560</v>
      </c>
      <c r="BX207" s="6">
        <v>-5.59869747745454e-7</v>
      </c>
      <c r="BY207" s="6">
        <v>-5.72884824498553e-7</v>
      </c>
      <c r="BZ207" s="6">
        <v>1.33079729361103</v>
      </c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</row>
    <row r="208" spans="1:10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4"/>
      <c r="AM208" s="4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4"/>
      <c r="AZ208" s="4"/>
      <c r="BA208" s="10" t="s">
        <v>33</v>
      </c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4"/>
      <c r="BM208" s="4"/>
      <c r="BN208" s="15"/>
      <c r="BO208" s="6"/>
      <c r="BP208" s="10" t="s">
        <v>33</v>
      </c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</row>
    <row r="209" ht="23.25" spans="1:10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4"/>
      <c r="AM209" s="4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4"/>
      <c r="AZ209" s="4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4"/>
      <c r="BM209" s="4"/>
      <c r="BN209" s="15"/>
      <c r="BO209" s="3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</row>
    <row r="210" ht="23.25" spans="1:10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4"/>
      <c r="AM210" s="4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4"/>
      <c r="AZ210" s="4"/>
      <c r="BA210" s="6" t="s">
        <v>12</v>
      </c>
      <c r="BB210" s="6" t="s">
        <v>13</v>
      </c>
      <c r="BC210" s="6" t="s">
        <v>14</v>
      </c>
      <c r="BD210" s="6" t="s">
        <v>15</v>
      </c>
      <c r="BE210" s="6" t="s">
        <v>16</v>
      </c>
      <c r="BF210" s="6" t="s">
        <v>17</v>
      </c>
      <c r="BG210" s="6" t="s">
        <v>18</v>
      </c>
      <c r="BH210" s="6" t="s">
        <v>19</v>
      </c>
      <c r="BI210" s="6" t="s">
        <v>20</v>
      </c>
      <c r="BJ210" s="6" t="s">
        <v>21</v>
      </c>
      <c r="BK210" s="6" t="s">
        <v>22</v>
      </c>
      <c r="BL210" s="4"/>
      <c r="BM210" s="4"/>
      <c r="BN210" s="15"/>
      <c r="BO210" s="3"/>
      <c r="BP210" s="6" t="s">
        <v>12</v>
      </c>
      <c r="BQ210" s="6" t="s">
        <v>13</v>
      </c>
      <c r="BR210" s="6" t="s">
        <v>14</v>
      </c>
      <c r="BS210" s="6" t="s">
        <v>15</v>
      </c>
      <c r="BT210" s="6" t="s">
        <v>16</v>
      </c>
      <c r="BU210" s="6" t="s">
        <v>17</v>
      </c>
      <c r="BV210" s="6" t="s">
        <v>18</v>
      </c>
      <c r="BW210" s="6" t="s">
        <v>19</v>
      </c>
      <c r="BX210" s="6" t="s">
        <v>20</v>
      </c>
      <c r="BY210" s="6" t="s">
        <v>21</v>
      </c>
      <c r="BZ210" s="6" t="s">
        <v>22</v>
      </c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</row>
    <row r="211" ht="23.25" spans="1:10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4"/>
      <c r="AM211" s="4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4"/>
      <c r="AZ211" s="4"/>
      <c r="BA211" s="6" t="s">
        <v>24</v>
      </c>
      <c r="BB211" s="6">
        <v>238</v>
      </c>
      <c r="BC211" s="6" t="s">
        <v>24</v>
      </c>
      <c r="BD211" s="6">
        <v>340</v>
      </c>
      <c r="BE211" s="6" t="s">
        <v>25</v>
      </c>
      <c r="BF211" s="6">
        <v>196</v>
      </c>
      <c r="BG211" s="6" t="s">
        <v>26</v>
      </c>
      <c r="BH211" s="6">
        <v>1014</v>
      </c>
      <c r="BI211" s="6">
        <v>-1.60113149857502</v>
      </c>
      <c r="BJ211" s="6">
        <v>-1.75788888926882</v>
      </c>
      <c r="BK211" s="6">
        <v>-0.753265790161725</v>
      </c>
      <c r="BL211" s="4"/>
      <c r="BM211" s="4">
        <f t="shared" si="8"/>
        <v>176.595</v>
      </c>
      <c r="BN211" s="15">
        <f t="shared" si="7"/>
        <v>61.405</v>
      </c>
      <c r="BO211" s="4"/>
      <c r="BP211" s="6" t="s">
        <v>24</v>
      </c>
      <c r="BQ211" s="6">
        <v>238</v>
      </c>
      <c r="BR211" s="6" t="s">
        <v>24</v>
      </c>
      <c r="BS211" s="6">
        <v>340</v>
      </c>
      <c r="BT211" s="6" t="s">
        <v>25</v>
      </c>
      <c r="BU211" s="6">
        <v>238</v>
      </c>
      <c r="BV211" s="6" t="s">
        <v>26</v>
      </c>
      <c r="BW211" s="6">
        <v>1266</v>
      </c>
      <c r="BX211" s="6">
        <v>-2.17740770279417</v>
      </c>
      <c r="BY211" s="6">
        <v>-1.93427902675112</v>
      </c>
      <c r="BZ211" s="6">
        <v>-0.833458929501851</v>
      </c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</row>
    <row r="212" ht="23.25" spans="1:10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4"/>
      <c r="AM212" s="4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4"/>
      <c r="AZ212" s="4"/>
      <c r="BA212" s="6" t="s">
        <v>24</v>
      </c>
      <c r="BB212" s="6">
        <v>238</v>
      </c>
      <c r="BC212" s="6" t="s">
        <v>24</v>
      </c>
      <c r="BD212" s="6">
        <v>340</v>
      </c>
      <c r="BE212" s="6" t="s">
        <v>25</v>
      </c>
      <c r="BF212" s="6">
        <v>225</v>
      </c>
      <c r="BG212" s="6" t="s">
        <v>26</v>
      </c>
      <c r="BH212" s="6">
        <v>1176</v>
      </c>
      <c r="BI212" s="6">
        <v>-2.16191781931675</v>
      </c>
      <c r="BJ212" s="6">
        <v>-1.88603754814544</v>
      </c>
      <c r="BK212" s="6">
        <v>-0.818402398742146</v>
      </c>
      <c r="BL212" s="4"/>
      <c r="BM212" s="4">
        <f t="shared" si="8"/>
        <v>203.895</v>
      </c>
      <c r="BN212" s="15">
        <f t="shared" si="7"/>
        <v>34.1049999999999</v>
      </c>
      <c r="BO212" s="6"/>
      <c r="BP212" s="6" t="s">
        <v>24</v>
      </c>
      <c r="BQ212" s="6">
        <v>238</v>
      </c>
      <c r="BR212" s="6" t="s">
        <v>24</v>
      </c>
      <c r="BS212" s="6">
        <v>340</v>
      </c>
      <c r="BT212" s="6" t="s">
        <v>25</v>
      </c>
      <c r="BU212" s="6">
        <v>256</v>
      </c>
      <c r="BV212" s="6" t="s">
        <v>26</v>
      </c>
      <c r="BW212" s="6">
        <v>1362</v>
      </c>
      <c r="BX212" s="6">
        <v>-2.20750175901288</v>
      </c>
      <c r="BY212" s="6">
        <v>-1.80923792372645</v>
      </c>
      <c r="BZ212" s="6">
        <v>-0.460715737630789</v>
      </c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</row>
    <row r="213" spans="1:10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11" t="s">
        <v>24</v>
      </c>
      <c r="BB213" s="11">
        <v>238</v>
      </c>
      <c r="BC213" s="11" t="s">
        <v>24</v>
      </c>
      <c r="BD213" s="11">
        <v>340</v>
      </c>
      <c r="BE213" s="11" t="s">
        <v>25</v>
      </c>
      <c r="BF213" s="11">
        <v>256</v>
      </c>
      <c r="BG213" s="11" t="s">
        <v>26</v>
      </c>
      <c r="BH213" s="11">
        <v>1350</v>
      </c>
      <c r="BI213" s="11">
        <v>-2.1182661175806</v>
      </c>
      <c r="BJ213" s="11">
        <v>-1.70115201480642</v>
      </c>
      <c r="BK213" s="11">
        <v>-0.304466219717943</v>
      </c>
      <c r="BL213" s="12"/>
      <c r="BM213" s="12">
        <f t="shared" si="8"/>
        <v>233.155</v>
      </c>
      <c r="BN213" s="15">
        <f t="shared" si="7"/>
        <v>4.84499999999997</v>
      </c>
      <c r="BO213" s="6"/>
      <c r="BP213" s="6" t="s">
        <v>24</v>
      </c>
      <c r="BQ213" s="6">
        <v>238</v>
      </c>
      <c r="BR213" s="6" t="s">
        <v>24</v>
      </c>
      <c r="BS213" s="6">
        <v>340</v>
      </c>
      <c r="BT213" s="6" t="s">
        <v>25</v>
      </c>
      <c r="BU213" s="6">
        <v>297</v>
      </c>
      <c r="BV213" s="6" t="s">
        <v>26</v>
      </c>
      <c r="BW213" s="6">
        <v>1596</v>
      </c>
      <c r="BX213" s="6">
        <v>-1.96581660105992</v>
      </c>
      <c r="BY213" s="6">
        <v>-1.59033595359238</v>
      </c>
      <c r="BZ213" s="6">
        <v>-0.0202679729794559</v>
      </c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</row>
    <row r="214" ht="23.25" spans="1:10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4"/>
      <c r="AM214" s="4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4"/>
      <c r="AZ214" s="4"/>
      <c r="BA214" s="6" t="s">
        <v>24</v>
      </c>
      <c r="BB214" s="6">
        <v>238</v>
      </c>
      <c r="BC214" s="6" t="s">
        <v>24</v>
      </c>
      <c r="BD214" s="6">
        <v>340</v>
      </c>
      <c r="BE214" s="6" t="s">
        <v>25</v>
      </c>
      <c r="BF214" s="6">
        <v>289</v>
      </c>
      <c r="BG214" s="6" t="s">
        <v>26</v>
      </c>
      <c r="BH214" s="6">
        <v>1536</v>
      </c>
      <c r="BI214" s="6">
        <v>-1.81526886737171</v>
      </c>
      <c r="BJ214" s="6">
        <v>-1.46767841054873</v>
      </c>
      <c r="BK214" s="6">
        <v>0.0166443149123086</v>
      </c>
      <c r="BL214" s="4"/>
      <c r="BM214" s="4">
        <f t="shared" si="8"/>
        <v>264.375</v>
      </c>
      <c r="BN214" s="15">
        <f t="shared" si="7"/>
        <v>26.375</v>
      </c>
      <c r="BO214" s="6"/>
      <c r="BP214" s="6" t="s">
        <v>24</v>
      </c>
      <c r="BQ214" s="6">
        <v>238</v>
      </c>
      <c r="BR214" s="6" t="s">
        <v>24</v>
      </c>
      <c r="BS214" s="6">
        <v>340</v>
      </c>
      <c r="BT214" s="6" t="s">
        <v>25</v>
      </c>
      <c r="BU214" s="6">
        <v>340</v>
      </c>
      <c r="BV214" s="6" t="s">
        <v>26</v>
      </c>
      <c r="BW214" s="6">
        <v>1842</v>
      </c>
      <c r="BX214" s="6">
        <v>-1.78616387766173</v>
      </c>
      <c r="BY214" s="6">
        <v>-1.55779663922671</v>
      </c>
      <c r="BZ214" s="6">
        <v>-0.168471385853955</v>
      </c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</row>
    <row r="215" ht="23.25" spans="1:10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4"/>
      <c r="AM215" s="4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4"/>
      <c r="AZ215" s="4"/>
      <c r="BA215" s="6" t="s">
        <v>24</v>
      </c>
      <c r="BB215" s="6">
        <v>238</v>
      </c>
      <c r="BC215" s="6" t="s">
        <v>24</v>
      </c>
      <c r="BD215" s="6">
        <v>340</v>
      </c>
      <c r="BE215" s="6" t="s">
        <v>25</v>
      </c>
      <c r="BF215" s="6">
        <v>324</v>
      </c>
      <c r="BG215" s="6" t="s">
        <v>26</v>
      </c>
      <c r="BH215" s="6">
        <v>1734</v>
      </c>
      <c r="BI215" s="6">
        <v>-1.19044632080213</v>
      </c>
      <c r="BJ215" s="6">
        <v>-1.04611635333177</v>
      </c>
      <c r="BK215" s="6">
        <v>0.636223869400752</v>
      </c>
      <c r="BL215" s="4"/>
      <c r="BM215" s="4">
        <f t="shared" si="8"/>
        <v>297.555</v>
      </c>
      <c r="BN215" s="15">
        <f t="shared" si="7"/>
        <v>59.5550000000001</v>
      </c>
      <c r="BO215" s="6"/>
      <c r="BP215" s="6" t="s">
        <v>24</v>
      </c>
      <c r="BQ215" s="6">
        <v>238</v>
      </c>
      <c r="BR215" s="6" t="s">
        <v>24</v>
      </c>
      <c r="BS215" s="6">
        <v>340</v>
      </c>
      <c r="BT215" s="6" t="s">
        <v>25</v>
      </c>
      <c r="BU215" s="6">
        <v>380</v>
      </c>
      <c r="BV215" s="6" t="s">
        <v>26</v>
      </c>
      <c r="BW215" s="6">
        <v>2070</v>
      </c>
      <c r="BX215" s="6">
        <v>-0.576344680579682</v>
      </c>
      <c r="BY215" s="6">
        <v>-0.517756335979972</v>
      </c>
      <c r="BZ215" s="6">
        <v>1.3946124865942</v>
      </c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</row>
    <row r="216" spans="1:10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4"/>
      <c r="AZ216" s="4"/>
      <c r="BA216" s="6" t="s">
        <v>24</v>
      </c>
      <c r="BB216" s="6">
        <v>238</v>
      </c>
      <c r="BC216" s="6" t="s">
        <v>24</v>
      </c>
      <c r="BD216" s="6">
        <v>340</v>
      </c>
      <c r="BE216" s="6" t="s">
        <v>25</v>
      </c>
      <c r="BF216" s="6">
        <v>361</v>
      </c>
      <c r="BG216" s="6" t="s">
        <v>26</v>
      </c>
      <c r="BH216" s="6">
        <v>1944</v>
      </c>
      <c r="BI216" s="6">
        <v>-0.737559215924622</v>
      </c>
      <c r="BJ216" s="6">
        <v>-0.688164282125965</v>
      </c>
      <c r="BK216" s="6">
        <v>1.10384350475701</v>
      </c>
      <c r="BL216" s="4"/>
      <c r="BM216" s="4">
        <f t="shared" si="8"/>
        <v>332.695</v>
      </c>
      <c r="BN216" s="15">
        <f t="shared" si="7"/>
        <v>94.695</v>
      </c>
      <c r="BO216" s="6"/>
      <c r="BP216" s="6" t="s">
        <v>24</v>
      </c>
      <c r="BQ216" s="6">
        <v>238</v>
      </c>
      <c r="BR216" s="6" t="s">
        <v>24</v>
      </c>
      <c r="BS216" s="6">
        <v>340</v>
      </c>
      <c r="BT216" s="6" t="s">
        <v>25</v>
      </c>
      <c r="BU216" s="6">
        <v>435</v>
      </c>
      <c r="BV216" s="6" t="s">
        <v>26</v>
      </c>
      <c r="BW216" s="6">
        <v>2388</v>
      </c>
      <c r="BX216" s="6">
        <v>-0.102809943036251</v>
      </c>
      <c r="BY216" s="6">
        <v>-0.0915207500505109</v>
      </c>
      <c r="BZ216" s="6">
        <v>2.40221262729237</v>
      </c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</row>
    <row r="217" spans="1:10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4"/>
      <c r="AM217" s="4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4"/>
      <c r="AZ217" s="4"/>
      <c r="BA217" s="6" t="s">
        <v>24</v>
      </c>
      <c r="BB217" s="6">
        <v>238</v>
      </c>
      <c r="BC217" s="6" t="s">
        <v>24</v>
      </c>
      <c r="BD217" s="6">
        <v>340</v>
      </c>
      <c r="BE217" s="6" t="s">
        <v>25</v>
      </c>
      <c r="BF217" s="6">
        <v>400</v>
      </c>
      <c r="BG217" s="6" t="s">
        <v>26</v>
      </c>
      <c r="BH217" s="6">
        <v>2166</v>
      </c>
      <c r="BI217" s="6">
        <v>-0.29900752335979</v>
      </c>
      <c r="BJ217" s="6">
        <v>-0.28659203828675</v>
      </c>
      <c r="BK217" s="6">
        <v>1.63730513993159</v>
      </c>
      <c r="BL217" s="4"/>
      <c r="BM217" s="4">
        <f t="shared" si="8"/>
        <v>369.795</v>
      </c>
      <c r="BN217" s="15">
        <f t="shared" si="7"/>
        <v>131.795</v>
      </c>
      <c r="BO217" s="6"/>
      <c r="BP217" s="6" t="s">
        <v>24</v>
      </c>
      <c r="BQ217" s="6">
        <v>238</v>
      </c>
      <c r="BR217" s="6" t="s">
        <v>24</v>
      </c>
      <c r="BS217" s="6">
        <v>340</v>
      </c>
      <c r="BT217" s="6" t="s">
        <v>25</v>
      </c>
      <c r="BU217" s="6">
        <v>485</v>
      </c>
      <c r="BV217" s="6" t="s">
        <v>26</v>
      </c>
      <c r="BW217" s="6">
        <v>2676</v>
      </c>
      <c r="BX217" s="6">
        <v>-8.71105217661851e-6</v>
      </c>
      <c r="BY217" s="6">
        <v>-1.13131475176281e-5</v>
      </c>
      <c r="BZ217" s="6">
        <v>2.02418015177458</v>
      </c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</row>
    <row r="218" spans="1:10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4"/>
      <c r="AM218" s="4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4"/>
      <c r="AZ218" s="4"/>
      <c r="BA218" s="6" t="s">
        <v>24</v>
      </c>
      <c r="BB218" s="6">
        <v>238</v>
      </c>
      <c r="BC218" s="6" t="s">
        <v>24</v>
      </c>
      <c r="BD218" s="6">
        <v>340</v>
      </c>
      <c r="BE218" s="6" t="s">
        <v>25</v>
      </c>
      <c r="BF218" s="6">
        <v>441</v>
      </c>
      <c r="BG218" s="6" t="s">
        <v>26</v>
      </c>
      <c r="BH218" s="6">
        <v>2400</v>
      </c>
      <c r="BI218" s="6">
        <v>-0.00783336866568198</v>
      </c>
      <c r="BJ218" s="6">
        <v>-0.0143568938994744</v>
      </c>
      <c r="BK218" s="6">
        <v>2.37615745149523</v>
      </c>
      <c r="BL218" s="4"/>
      <c r="BM218" s="4">
        <f t="shared" si="8"/>
        <v>411.72</v>
      </c>
      <c r="BN218" s="15">
        <f t="shared" si="7"/>
        <v>173.72</v>
      </c>
      <c r="BO218" s="6"/>
      <c r="BP218" s="6" t="s">
        <v>24</v>
      </c>
      <c r="BQ218" s="6">
        <v>238</v>
      </c>
      <c r="BR218" s="6" t="s">
        <v>24</v>
      </c>
      <c r="BS218" s="6">
        <v>340</v>
      </c>
      <c r="BT218" s="6" t="s">
        <v>25</v>
      </c>
      <c r="BU218" s="6">
        <v>564</v>
      </c>
      <c r="BV218" s="6" t="s">
        <v>26</v>
      </c>
      <c r="BW218" s="6">
        <v>3138</v>
      </c>
      <c r="BX218" s="6">
        <v>7.80444234809619e-7</v>
      </c>
      <c r="BY218" s="6">
        <v>-7.37644972712788e-7</v>
      </c>
      <c r="BZ218" s="6">
        <v>1.65872719801562</v>
      </c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</row>
    <row r="219" spans="1:10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4"/>
      <c r="AM219" s="4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4"/>
      <c r="AZ219" s="4"/>
      <c r="BA219" s="6" t="s">
        <v>24</v>
      </c>
      <c r="BB219" s="6">
        <v>238</v>
      </c>
      <c r="BC219" s="6" t="s">
        <v>24</v>
      </c>
      <c r="BD219" s="6">
        <v>340</v>
      </c>
      <c r="BE219" s="6" t="s">
        <v>25</v>
      </c>
      <c r="BF219" s="6">
        <v>484</v>
      </c>
      <c r="BG219" s="6" t="s">
        <v>26</v>
      </c>
      <c r="BH219" s="6">
        <v>2646</v>
      </c>
      <c r="BI219" s="6">
        <v>2.14081879885145e-5</v>
      </c>
      <c r="BJ219" s="6">
        <v>-9.24636736116351e-6</v>
      </c>
      <c r="BK219" s="6">
        <v>2.30301566819825</v>
      </c>
      <c r="BL219" s="4"/>
      <c r="BM219" s="4">
        <f t="shared" si="8"/>
        <v>452.88</v>
      </c>
      <c r="BN219" s="15">
        <f t="shared" si="7"/>
        <v>214.88</v>
      </c>
      <c r="BO219" s="6"/>
      <c r="BP219" s="6" t="s">
        <v>24</v>
      </c>
      <c r="BQ219" s="6">
        <v>238</v>
      </c>
      <c r="BR219" s="6" t="s">
        <v>24</v>
      </c>
      <c r="BS219" s="6">
        <v>340</v>
      </c>
      <c r="BT219" s="6" t="s">
        <v>25</v>
      </c>
      <c r="BU219" s="6">
        <v>598</v>
      </c>
      <c r="BV219" s="6" t="s">
        <v>26</v>
      </c>
      <c r="BW219" s="6">
        <v>3330</v>
      </c>
      <c r="BX219" s="6">
        <v>-5.63553855470206e-7</v>
      </c>
      <c r="BY219" s="6">
        <v>-1.1663297113204e-6</v>
      </c>
      <c r="BZ219" s="6">
        <v>1.59540694540688</v>
      </c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</row>
    <row r="220" spans="1:10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4"/>
      <c r="AM220" s="4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4"/>
      <c r="AZ220" s="4"/>
      <c r="BA220" s="6" t="s">
        <v>24</v>
      </c>
      <c r="BB220" s="6">
        <v>238</v>
      </c>
      <c r="BC220" s="6" t="s">
        <v>24</v>
      </c>
      <c r="BD220" s="6">
        <v>340</v>
      </c>
      <c r="BE220" s="6" t="s">
        <v>25</v>
      </c>
      <c r="BF220" s="6">
        <v>529</v>
      </c>
      <c r="BG220" s="6" t="s">
        <v>26</v>
      </c>
      <c r="BH220" s="6">
        <v>2904</v>
      </c>
      <c r="BI220" s="6">
        <v>2.32575238926922e-6</v>
      </c>
      <c r="BJ220" s="6">
        <v>-3.64833731499203e-6</v>
      </c>
      <c r="BK220" s="6">
        <v>1.99496106528867</v>
      </c>
      <c r="BL220" s="4"/>
      <c r="BM220" s="4">
        <f t="shared" si="8"/>
        <v>496</v>
      </c>
      <c r="BN220" s="15">
        <f t="shared" si="7"/>
        <v>258</v>
      </c>
      <c r="BO220" s="6"/>
      <c r="BP220" s="6" t="s">
        <v>24</v>
      </c>
      <c r="BQ220" s="6">
        <v>238</v>
      </c>
      <c r="BR220" s="6" t="s">
        <v>24</v>
      </c>
      <c r="BS220" s="6">
        <v>340</v>
      </c>
      <c r="BT220" s="6" t="s">
        <v>25</v>
      </c>
      <c r="BU220" s="6">
        <v>668</v>
      </c>
      <c r="BV220" s="6" t="s">
        <v>26</v>
      </c>
      <c r="BW220" s="6">
        <v>3738</v>
      </c>
      <c r="BX220" s="6">
        <v>-5.68128657209953e-7</v>
      </c>
      <c r="BY220" s="6">
        <v>-8.336522317193e-7</v>
      </c>
      <c r="BZ220" s="6">
        <v>1.48075460920278</v>
      </c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</row>
    <row r="221" spans="1:10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4"/>
      <c r="AM221" s="4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4"/>
      <c r="AZ221" s="4"/>
      <c r="BA221" s="6" t="s">
        <v>24</v>
      </c>
      <c r="BB221" s="6">
        <v>238</v>
      </c>
      <c r="BC221" s="6" t="s">
        <v>24</v>
      </c>
      <c r="BD221" s="6">
        <v>340</v>
      </c>
      <c r="BE221" s="6" t="s">
        <v>25</v>
      </c>
      <c r="BF221" s="6">
        <v>576</v>
      </c>
      <c r="BG221" s="6" t="s">
        <v>26</v>
      </c>
      <c r="BH221" s="6">
        <v>3174</v>
      </c>
      <c r="BI221" s="6">
        <v>-2.22425948719116e-7</v>
      </c>
      <c r="BJ221" s="6">
        <v>-2.84563164005644e-6</v>
      </c>
      <c r="BK221" s="6">
        <v>1.85432690395957</v>
      </c>
      <c r="BL221" s="4"/>
      <c r="BM221" s="4">
        <f t="shared" si="8"/>
        <v>541.08</v>
      </c>
      <c r="BN221" s="15">
        <f t="shared" si="7"/>
        <v>303.08</v>
      </c>
      <c r="BO221" s="6"/>
      <c r="BP221" s="6" t="s">
        <v>24</v>
      </c>
      <c r="BQ221" s="6">
        <v>238</v>
      </c>
      <c r="BR221" s="6" t="s">
        <v>24</v>
      </c>
      <c r="BS221" s="6">
        <v>340</v>
      </c>
      <c r="BT221" s="6" t="s">
        <v>25</v>
      </c>
      <c r="BU221" s="6">
        <v>741</v>
      </c>
      <c r="BV221" s="6" t="s">
        <v>26</v>
      </c>
      <c r="BW221" s="6">
        <v>4164</v>
      </c>
      <c r="BX221" s="6">
        <v>-4.93688703341606e-7</v>
      </c>
      <c r="BY221" s="6">
        <v>-6.43590304891265e-7</v>
      </c>
      <c r="BZ221" s="6">
        <v>1.40757616143608</v>
      </c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</row>
    <row r="222" spans="1:10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4"/>
      <c r="AM222" s="4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4"/>
      <c r="AZ222" s="4"/>
      <c r="BA222" s="6" t="s">
        <v>24</v>
      </c>
      <c r="BB222" s="6">
        <v>238</v>
      </c>
      <c r="BC222" s="6" t="s">
        <v>24</v>
      </c>
      <c r="BD222" s="6">
        <v>340</v>
      </c>
      <c r="BE222" s="6" t="s">
        <v>25</v>
      </c>
      <c r="BF222" s="6">
        <v>625</v>
      </c>
      <c r="BG222" s="6" t="s">
        <v>26</v>
      </c>
      <c r="BH222" s="6">
        <v>3456</v>
      </c>
      <c r="BI222" s="6">
        <v>2.03610041905665e-7</v>
      </c>
      <c r="BJ222" s="6">
        <v>-1.38173297651696e-6</v>
      </c>
      <c r="BK222" s="6">
        <v>1.72753404529043</v>
      </c>
      <c r="BL222" s="4"/>
      <c r="BM222" s="4">
        <f t="shared" si="8"/>
        <v>588.12</v>
      </c>
      <c r="BN222" s="15">
        <f t="shared" si="7"/>
        <v>350.12</v>
      </c>
      <c r="BO222" s="6"/>
      <c r="BP222" s="6" t="s">
        <v>24</v>
      </c>
      <c r="BQ222" s="6">
        <v>238</v>
      </c>
      <c r="BR222" s="6" t="s">
        <v>24</v>
      </c>
      <c r="BS222" s="6">
        <v>340</v>
      </c>
      <c r="BT222" s="6" t="s">
        <v>25</v>
      </c>
      <c r="BU222" s="6">
        <v>797</v>
      </c>
      <c r="BV222" s="6" t="s">
        <v>26</v>
      </c>
      <c r="BW222" s="6">
        <v>4488</v>
      </c>
      <c r="BX222" s="6">
        <v>-4.25343975756872e-7</v>
      </c>
      <c r="BY222" s="6">
        <v>-5.91074987143348e-7</v>
      </c>
      <c r="BZ222" s="6">
        <v>1.39799005515056</v>
      </c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</row>
    <row r="223" spans="1:10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4"/>
      <c r="AM223" s="4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4"/>
      <c r="AZ223" s="4"/>
      <c r="BA223" s="6" t="s">
        <v>24</v>
      </c>
      <c r="BB223" s="6">
        <v>238</v>
      </c>
      <c r="BC223" s="6" t="s">
        <v>24</v>
      </c>
      <c r="BD223" s="6">
        <v>340</v>
      </c>
      <c r="BE223" s="6" t="s">
        <v>25</v>
      </c>
      <c r="BF223" s="6">
        <v>676</v>
      </c>
      <c r="BG223" s="6" t="s">
        <v>26</v>
      </c>
      <c r="BH223" s="6">
        <v>3750</v>
      </c>
      <c r="BI223" s="6">
        <v>-5.80726277738367e-7</v>
      </c>
      <c r="BJ223" s="6">
        <v>-1.37594816245388e-6</v>
      </c>
      <c r="BK223" s="6">
        <v>1.64703421515545</v>
      </c>
      <c r="BL223" s="4"/>
      <c r="BM223" s="4">
        <f t="shared" si="8"/>
        <v>637.12</v>
      </c>
      <c r="BN223" s="15">
        <f t="shared" si="7"/>
        <v>399.12</v>
      </c>
      <c r="BO223" s="6"/>
      <c r="BP223" s="6" t="s">
        <v>24</v>
      </c>
      <c r="BQ223" s="6">
        <v>238</v>
      </c>
      <c r="BR223" s="6" t="s">
        <v>24</v>
      </c>
      <c r="BS223" s="6">
        <v>340</v>
      </c>
      <c r="BT223" s="6" t="s">
        <v>25</v>
      </c>
      <c r="BU223" s="6">
        <v>861</v>
      </c>
      <c r="BV223" s="6" t="s">
        <v>26</v>
      </c>
      <c r="BW223" s="6">
        <v>4860</v>
      </c>
      <c r="BX223" s="6">
        <v>-5.21757053667817e-7</v>
      </c>
      <c r="BY223" s="6">
        <v>-5.85992799771357e-7</v>
      </c>
      <c r="BZ223" s="6">
        <v>1.35734678006116</v>
      </c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</row>
    <row r="224" spans="1:10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4"/>
      <c r="AM224" s="4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4"/>
      <c r="AZ224" s="4"/>
      <c r="BA224" s="6" t="s">
        <v>24</v>
      </c>
      <c r="BB224" s="6">
        <v>238</v>
      </c>
      <c r="BC224" s="6" t="s">
        <v>24</v>
      </c>
      <c r="BD224" s="6">
        <v>340</v>
      </c>
      <c r="BE224" s="6" t="s">
        <v>25</v>
      </c>
      <c r="BF224" s="6">
        <v>729</v>
      </c>
      <c r="BG224" s="6" t="s">
        <v>26</v>
      </c>
      <c r="BH224" s="6">
        <v>4056</v>
      </c>
      <c r="BI224" s="6">
        <v>-2.82191228284496e-7</v>
      </c>
      <c r="BJ224" s="6">
        <v>-8.8943133558163e-7</v>
      </c>
      <c r="BK224" s="6">
        <v>1.5690999027417</v>
      </c>
      <c r="BL224" s="4"/>
      <c r="BM224" s="4">
        <f t="shared" si="8"/>
        <v>688.08</v>
      </c>
      <c r="BN224" s="15">
        <f t="shared" si="7"/>
        <v>450.08</v>
      </c>
      <c r="BO224" s="6"/>
      <c r="BP224" s="6" t="s">
        <v>24</v>
      </c>
      <c r="BQ224" s="6">
        <v>238</v>
      </c>
      <c r="BR224" s="6" t="s">
        <v>24</v>
      </c>
      <c r="BS224" s="6">
        <v>340</v>
      </c>
      <c r="BT224" s="6" t="s">
        <v>25</v>
      </c>
      <c r="BU224" s="6">
        <v>927</v>
      </c>
      <c r="BV224" s="6" t="s">
        <v>26</v>
      </c>
      <c r="BW224" s="6">
        <v>5244</v>
      </c>
      <c r="BX224" s="6">
        <v>-3.94300983685156e-7</v>
      </c>
      <c r="BY224" s="6">
        <v>-4.81213170776913e-7</v>
      </c>
      <c r="BZ224" s="6">
        <v>1.33098909429564</v>
      </c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</row>
    <row r="225" spans="1:10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4"/>
      <c r="AM225" s="4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4"/>
      <c r="AZ225" s="4"/>
      <c r="BA225" s="6" t="s">
        <v>24</v>
      </c>
      <c r="BB225" s="6">
        <v>238</v>
      </c>
      <c r="BC225" s="6" t="s">
        <v>24</v>
      </c>
      <c r="BD225" s="6">
        <v>340</v>
      </c>
      <c r="BE225" s="6" t="s">
        <v>25</v>
      </c>
      <c r="BF225" s="6">
        <v>784</v>
      </c>
      <c r="BG225" s="6" t="s">
        <v>26</v>
      </c>
      <c r="BH225" s="6">
        <v>4374</v>
      </c>
      <c r="BI225" s="6">
        <v>-4.23906682932213e-7</v>
      </c>
      <c r="BJ225" s="6">
        <v>-9.13271376874471e-7</v>
      </c>
      <c r="BK225" s="6">
        <v>1.54965028239185</v>
      </c>
      <c r="BL225" s="4"/>
      <c r="BM225" s="4">
        <f t="shared" si="8"/>
        <v>744.855</v>
      </c>
      <c r="BN225" s="15">
        <f t="shared" si="7"/>
        <v>506.855</v>
      </c>
      <c r="BO225" s="6"/>
      <c r="BP225" s="6" t="s">
        <v>24</v>
      </c>
      <c r="BQ225" s="6">
        <v>238</v>
      </c>
      <c r="BR225" s="6" t="s">
        <v>24</v>
      </c>
      <c r="BS225" s="6">
        <v>340</v>
      </c>
      <c r="BT225" s="6" t="s">
        <v>25</v>
      </c>
      <c r="BU225" s="6">
        <v>977</v>
      </c>
      <c r="BV225" s="6" t="s">
        <v>26</v>
      </c>
      <c r="BW225" s="6">
        <v>5532</v>
      </c>
      <c r="BX225" s="6">
        <v>-4.33440777125516e-7</v>
      </c>
      <c r="BY225" s="6">
        <v>-4.83145197600967e-7</v>
      </c>
      <c r="BZ225" s="6">
        <v>1.31390091524878</v>
      </c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</row>
    <row r="226" spans="1:10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4"/>
      <c r="AM226" s="4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4"/>
      <c r="AZ226" s="4"/>
      <c r="BA226" s="6" t="s">
        <v>24</v>
      </c>
      <c r="BB226" s="6">
        <v>238</v>
      </c>
      <c r="BC226" s="6" t="s">
        <v>24</v>
      </c>
      <c r="BD226" s="6">
        <v>340</v>
      </c>
      <c r="BE226" s="6" t="s">
        <v>25</v>
      </c>
      <c r="BF226" s="6">
        <v>841</v>
      </c>
      <c r="BG226" s="6" t="s">
        <v>26</v>
      </c>
      <c r="BH226" s="6">
        <v>4704</v>
      </c>
      <c r="BI226" s="6">
        <v>-2.46150938718681e-7</v>
      </c>
      <c r="BJ226" s="6">
        <v>-6.26695416875658e-7</v>
      </c>
      <c r="BK226" s="6">
        <v>1.47577512012681</v>
      </c>
      <c r="BL226" s="4"/>
      <c r="BM226" s="4">
        <f t="shared" si="8"/>
        <v>799.875</v>
      </c>
      <c r="BN226" s="15">
        <f t="shared" si="7"/>
        <v>561.875</v>
      </c>
      <c r="BO226" s="6"/>
      <c r="BP226" s="6" t="s">
        <v>24</v>
      </c>
      <c r="BQ226" s="6">
        <v>238</v>
      </c>
      <c r="BR226" s="6" t="s">
        <v>24</v>
      </c>
      <c r="BS226" s="6">
        <v>340</v>
      </c>
      <c r="BT226" s="6" t="s">
        <v>25</v>
      </c>
      <c r="BU226" s="6">
        <v>1034</v>
      </c>
      <c r="BV226" s="6" t="s">
        <v>26</v>
      </c>
      <c r="BW226" s="6">
        <v>5862</v>
      </c>
      <c r="BX226" s="6">
        <v>-4.2455256044715e-7</v>
      </c>
      <c r="BY226" s="6">
        <v>-4.67864640652713e-7</v>
      </c>
      <c r="BZ226" s="6">
        <v>1.30514802840781</v>
      </c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</row>
    <row r="227" spans="1:10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4"/>
      <c r="AM227" s="4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4"/>
      <c r="AZ227" s="4"/>
      <c r="BA227" s="6" t="s">
        <v>24</v>
      </c>
      <c r="BB227" s="6">
        <v>238</v>
      </c>
      <c r="BC227" s="6" t="s">
        <v>24</v>
      </c>
      <c r="BD227" s="6">
        <v>340</v>
      </c>
      <c r="BE227" s="6" t="s">
        <v>25</v>
      </c>
      <c r="BF227" s="6">
        <v>900</v>
      </c>
      <c r="BG227" s="6" t="s">
        <v>26</v>
      </c>
      <c r="BH227" s="6">
        <v>5046</v>
      </c>
      <c r="BI227" s="6">
        <v>-4.63508331589026e-7</v>
      </c>
      <c r="BJ227" s="6">
        <v>-6.62355753460946e-7</v>
      </c>
      <c r="BK227" s="6">
        <v>1.43089154995679</v>
      </c>
      <c r="BL227" s="4"/>
      <c r="BM227" s="4">
        <f t="shared" si="8"/>
        <v>856.855</v>
      </c>
      <c r="BN227" s="15">
        <f t="shared" si="7"/>
        <v>618.855</v>
      </c>
      <c r="BO227" s="6"/>
      <c r="BP227" s="6" t="s">
        <v>24</v>
      </c>
      <c r="BQ227" s="6">
        <v>238</v>
      </c>
      <c r="BR227" s="6" t="s">
        <v>24</v>
      </c>
      <c r="BS227" s="6">
        <v>340</v>
      </c>
      <c r="BT227" s="6" t="s">
        <v>25</v>
      </c>
      <c r="BU227" s="6">
        <v>1085</v>
      </c>
      <c r="BV227" s="6" t="s">
        <v>26</v>
      </c>
      <c r="BW227" s="6">
        <v>6156</v>
      </c>
      <c r="BX227" s="6">
        <v>-4.74559564449309e-7</v>
      </c>
      <c r="BY227" s="6">
        <v>-5.07289666458813e-7</v>
      </c>
      <c r="BZ227" s="6">
        <v>1.31616680737512</v>
      </c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</row>
    <row r="228" spans="1:10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4"/>
      <c r="AM228" s="4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4"/>
      <c r="AZ228" s="4"/>
      <c r="BA228" s="6" t="s">
        <v>24</v>
      </c>
      <c r="BB228" s="6">
        <v>238</v>
      </c>
      <c r="BC228" s="6" t="s">
        <v>24</v>
      </c>
      <c r="BD228" s="6">
        <v>340</v>
      </c>
      <c r="BE228" s="6" t="s">
        <v>25</v>
      </c>
      <c r="BF228" s="6">
        <v>961</v>
      </c>
      <c r="BG228" s="6" t="s">
        <v>26</v>
      </c>
      <c r="BH228" s="6">
        <v>5400</v>
      </c>
      <c r="BI228" s="6">
        <v>-4.6184208911748e-7</v>
      </c>
      <c r="BJ228" s="6">
        <v>-5.61403378519272e-7</v>
      </c>
      <c r="BK228" s="6">
        <v>1.36781262406432</v>
      </c>
      <c r="BL228" s="4"/>
      <c r="BM228" s="4">
        <f t="shared" si="8"/>
        <v>915.795</v>
      </c>
      <c r="BN228" s="15">
        <f t="shared" si="7"/>
        <v>677.795</v>
      </c>
      <c r="BO228" s="6"/>
      <c r="BP228" s="6" t="s">
        <v>24</v>
      </c>
      <c r="BQ228" s="6">
        <v>238</v>
      </c>
      <c r="BR228" s="6" t="s">
        <v>24</v>
      </c>
      <c r="BS228" s="6">
        <v>340</v>
      </c>
      <c r="BT228" s="6" t="s">
        <v>25</v>
      </c>
      <c r="BU228" s="6">
        <v>1177</v>
      </c>
      <c r="BV228" s="6" t="s">
        <v>26</v>
      </c>
      <c r="BW228" s="6">
        <v>6696</v>
      </c>
      <c r="BX228" s="6">
        <v>-3.94884842210879e-7</v>
      </c>
      <c r="BY228" s="6">
        <v>-4.32114767726196e-7</v>
      </c>
      <c r="BZ228" s="6">
        <v>1.28564240670692</v>
      </c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</row>
    <row r="229" spans="1:10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4"/>
      <c r="AM229" s="4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4"/>
      <c r="AZ229" s="4"/>
      <c r="BA229" s="6" t="s">
        <v>24</v>
      </c>
      <c r="BB229" s="6">
        <v>238</v>
      </c>
      <c r="BC229" s="6" t="s">
        <v>24</v>
      </c>
      <c r="BD229" s="6">
        <v>340</v>
      </c>
      <c r="BE229" s="6" t="s">
        <v>25</v>
      </c>
      <c r="BF229" s="6">
        <v>1024</v>
      </c>
      <c r="BG229" s="6" t="s">
        <v>26</v>
      </c>
      <c r="BH229" s="6">
        <v>5766</v>
      </c>
      <c r="BI229" s="6">
        <v>-4.93394342047923e-7</v>
      </c>
      <c r="BJ229" s="6">
        <v>-5.50835595076052e-7</v>
      </c>
      <c r="BK229" s="6">
        <v>1.34365302264648</v>
      </c>
      <c r="BL229" s="4"/>
      <c r="BM229" s="4">
        <f t="shared" si="8"/>
        <v>976.695</v>
      </c>
      <c r="BN229" s="15">
        <f t="shared" si="7"/>
        <v>738.695</v>
      </c>
      <c r="BO229" s="6"/>
      <c r="BP229" s="6" t="s">
        <v>24</v>
      </c>
      <c r="BQ229" s="6">
        <v>238</v>
      </c>
      <c r="BR229" s="6" t="s">
        <v>24</v>
      </c>
      <c r="BS229" s="6">
        <v>340</v>
      </c>
      <c r="BT229" s="6" t="s">
        <v>25</v>
      </c>
      <c r="BU229" s="6">
        <v>1243</v>
      </c>
      <c r="BV229" s="6" t="s">
        <v>26</v>
      </c>
      <c r="BW229" s="6">
        <v>7080</v>
      </c>
      <c r="BX229" s="6">
        <v>-4.17579771932444e-7</v>
      </c>
      <c r="BY229" s="6">
        <v>-4.4073616963269e-7</v>
      </c>
      <c r="BZ229" s="6">
        <v>1.28192472382191</v>
      </c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</row>
    <row r="230" spans="1:10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4"/>
      <c r="AM230" s="4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4"/>
      <c r="AZ230" s="4"/>
      <c r="BA230" s="6" t="s">
        <v>24</v>
      </c>
      <c r="BB230" s="6">
        <v>238</v>
      </c>
      <c r="BC230" s="6" t="s">
        <v>24</v>
      </c>
      <c r="BD230" s="6">
        <v>340</v>
      </c>
      <c r="BE230" s="6" t="s">
        <v>25</v>
      </c>
      <c r="BF230" s="6">
        <v>1089</v>
      </c>
      <c r="BG230" s="6" t="s">
        <v>26</v>
      </c>
      <c r="BH230" s="6">
        <v>6144</v>
      </c>
      <c r="BI230" s="6">
        <v>-4.33004903761684e-7</v>
      </c>
      <c r="BJ230" s="6">
        <v>-4.81076093886497e-7</v>
      </c>
      <c r="BK230" s="6">
        <v>1.31210438908014</v>
      </c>
      <c r="BL230" s="4"/>
      <c r="BM230" s="4">
        <f t="shared" si="8"/>
        <v>1039.555</v>
      </c>
      <c r="BN230" s="15">
        <f t="shared" si="7"/>
        <v>801.555</v>
      </c>
      <c r="BO230" s="6"/>
      <c r="BP230" s="6" t="s">
        <v>24</v>
      </c>
      <c r="BQ230" s="6">
        <v>238</v>
      </c>
      <c r="BR230" s="6" t="s">
        <v>24</v>
      </c>
      <c r="BS230" s="6">
        <v>340</v>
      </c>
      <c r="BT230" s="6" t="s">
        <v>25</v>
      </c>
      <c r="BU230" s="6">
        <v>1325</v>
      </c>
      <c r="BV230" s="6" t="s">
        <v>26</v>
      </c>
      <c r="BW230" s="6">
        <v>7560</v>
      </c>
      <c r="BX230" s="6">
        <v>-3.84326577220309e-7</v>
      </c>
      <c r="BY230" s="6">
        <v>-4.1730608757867e-7</v>
      </c>
      <c r="BZ230" s="6">
        <v>1.27650358103588</v>
      </c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</row>
    <row r="231" spans="1:10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4"/>
      <c r="AM231" s="4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4"/>
      <c r="AZ231" s="4"/>
      <c r="BA231" s="10" t="s">
        <v>34</v>
      </c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4"/>
      <c r="BM231" s="4"/>
      <c r="BN231" s="15"/>
      <c r="BO231" s="6"/>
      <c r="BP231" s="10" t="s">
        <v>34</v>
      </c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</row>
    <row r="232" ht="23.25" spans="1:10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4"/>
      <c r="AM232" s="4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4"/>
      <c r="AZ232" s="4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4"/>
      <c r="BM232" s="4"/>
      <c r="BN232" s="15"/>
      <c r="BO232" s="3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</row>
    <row r="233" ht="23.25" spans="1:10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4"/>
      <c r="AM233" s="4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4"/>
      <c r="AZ233" s="4"/>
      <c r="BA233" s="6" t="s">
        <v>12</v>
      </c>
      <c r="BB233" s="6" t="s">
        <v>13</v>
      </c>
      <c r="BC233" s="6" t="s">
        <v>14</v>
      </c>
      <c r="BD233" s="6" t="s">
        <v>15</v>
      </c>
      <c r="BE233" s="6" t="s">
        <v>16</v>
      </c>
      <c r="BF233" s="6" t="s">
        <v>17</v>
      </c>
      <c r="BG233" s="6" t="s">
        <v>18</v>
      </c>
      <c r="BH233" s="6" t="s">
        <v>19</v>
      </c>
      <c r="BI233" s="6" t="s">
        <v>20</v>
      </c>
      <c r="BJ233" s="6" t="s">
        <v>21</v>
      </c>
      <c r="BK233" s="6" t="s">
        <v>22</v>
      </c>
      <c r="BL233" s="4"/>
      <c r="BM233" s="4"/>
      <c r="BN233" s="15"/>
      <c r="BO233" s="3"/>
      <c r="BP233" s="6" t="s">
        <v>12</v>
      </c>
      <c r="BQ233" s="6" t="s">
        <v>13</v>
      </c>
      <c r="BR233" s="6" t="s">
        <v>14</v>
      </c>
      <c r="BS233" s="6" t="s">
        <v>15</v>
      </c>
      <c r="BT233" s="6" t="s">
        <v>16</v>
      </c>
      <c r="BU233" s="6" t="s">
        <v>17</v>
      </c>
      <c r="BV233" s="6" t="s">
        <v>18</v>
      </c>
      <c r="BW233" s="6" t="s">
        <v>19</v>
      </c>
      <c r="BX233" s="6" t="s">
        <v>20</v>
      </c>
      <c r="BY233" s="6" t="s">
        <v>21</v>
      </c>
      <c r="BZ233" s="6" t="s">
        <v>22</v>
      </c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</row>
    <row r="234" spans="1:10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4"/>
      <c r="AM234" s="4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4"/>
      <c r="AZ234" s="4"/>
      <c r="BA234" s="6" t="s">
        <v>24</v>
      </c>
      <c r="BB234" s="6">
        <v>256</v>
      </c>
      <c r="BC234" s="6" t="s">
        <v>24</v>
      </c>
      <c r="BD234" s="6">
        <v>340</v>
      </c>
      <c r="BE234" s="6" t="s">
        <v>25</v>
      </c>
      <c r="BF234" s="6">
        <v>225</v>
      </c>
      <c r="BG234" s="6" t="s">
        <v>26</v>
      </c>
      <c r="BH234" s="6">
        <v>1176</v>
      </c>
      <c r="BI234" s="6">
        <v>-1.89400913922837</v>
      </c>
      <c r="BJ234" s="6">
        <v>-1.85789851232589</v>
      </c>
      <c r="BK234" s="6">
        <v>-0.756770981395328</v>
      </c>
      <c r="BL234" s="4"/>
      <c r="BM234" s="4">
        <f t="shared" si="8"/>
        <v>203.895</v>
      </c>
      <c r="BN234" s="15">
        <f t="shared" si="7"/>
        <v>52.1049999999999</v>
      </c>
      <c r="BO234" s="4"/>
      <c r="BP234" s="6" t="s">
        <v>24</v>
      </c>
      <c r="BQ234" s="6">
        <v>256</v>
      </c>
      <c r="BR234" s="6" t="s">
        <v>24</v>
      </c>
      <c r="BS234" s="6">
        <v>340</v>
      </c>
      <c r="BT234" s="6" t="s">
        <v>25</v>
      </c>
      <c r="BU234" s="6">
        <v>256</v>
      </c>
      <c r="BV234" s="6" t="s">
        <v>26</v>
      </c>
      <c r="BW234" s="6">
        <v>1362</v>
      </c>
      <c r="BX234" s="6">
        <v>-2.20256892936578</v>
      </c>
      <c r="BY234" s="6">
        <v>-1.92515343224145</v>
      </c>
      <c r="BZ234" s="6">
        <v>-0.701246518048865</v>
      </c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</row>
    <row r="235" spans="1:78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18"/>
      <c r="AM235" s="18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8"/>
      <c r="AZ235" s="18"/>
      <c r="BA235" s="6" t="s">
        <v>24</v>
      </c>
      <c r="BB235" s="6">
        <v>256</v>
      </c>
      <c r="BC235" s="6" t="s">
        <v>24</v>
      </c>
      <c r="BD235" s="6">
        <v>340</v>
      </c>
      <c r="BE235" s="6" t="s">
        <v>25</v>
      </c>
      <c r="BF235" s="6">
        <v>256</v>
      </c>
      <c r="BG235" s="6" t="s">
        <v>26</v>
      </c>
      <c r="BH235" s="6">
        <v>1350</v>
      </c>
      <c r="BI235" s="6">
        <v>-2.12106998211353</v>
      </c>
      <c r="BJ235" s="6">
        <v>-1.75972569074602</v>
      </c>
      <c r="BK235" s="6">
        <v>-0.395428307323645</v>
      </c>
      <c r="BL235" s="18"/>
      <c r="BM235" s="4">
        <f t="shared" si="8"/>
        <v>233.155</v>
      </c>
      <c r="BN235" s="15">
        <f t="shared" si="7"/>
        <v>22.845</v>
      </c>
      <c r="BO235" s="6"/>
      <c r="BP235" s="6" t="s">
        <v>24</v>
      </c>
      <c r="BQ235" s="6">
        <v>256</v>
      </c>
      <c r="BR235" s="6" t="s">
        <v>24</v>
      </c>
      <c r="BS235" s="6">
        <v>340</v>
      </c>
      <c r="BT235" s="6" t="s">
        <v>25</v>
      </c>
      <c r="BU235" s="6">
        <v>297</v>
      </c>
      <c r="BV235" s="6" t="s">
        <v>26</v>
      </c>
      <c r="BW235" s="6">
        <v>1596</v>
      </c>
      <c r="BX235" s="6">
        <v>-1.95594639439537</v>
      </c>
      <c r="BY235" s="6">
        <v>-1.57706548203079</v>
      </c>
      <c r="BZ235" s="6">
        <v>-0.0465038251724462</v>
      </c>
    </row>
    <row r="236" spans="1:78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18"/>
      <c r="AM236" s="18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8"/>
      <c r="AZ236" s="18"/>
      <c r="BA236" s="11" t="s">
        <v>24</v>
      </c>
      <c r="BB236" s="11">
        <v>256</v>
      </c>
      <c r="BC236" s="11" t="s">
        <v>24</v>
      </c>
      <c r="BD236" s="11">
        <v>340</v>
      </c>
      <c r="BE236" s="11" t="s">
        <v>25</v>
      </c>
      <c r="BF236" s="11">
        <v>289</v>
      </c>
      <c r="BG236" s="11" t="s">
        <v>26</v>
      </c>
      <c r="BH236" s="11">
        <v>1536</v>
      </c>
      <c r="BI236" s="11">
        <v>-1.93210684713219</v>
      </c>
      <c r="BJ236" s="11">
        <v>-1.57375812334835</v>
      </c>
      <c r="BK236" s="11">
        <v>-0.0381125929888719</v>
      </c>
      <c r="BL236" s="20"/>
      <c r="BM236" s="12">
        <f t="shared" si="8"/>
        <v>264.375</v>
      </c>
      <c r="BN236" s="15">
        <f t="shared" si="7"/>
        <v>8.375</v>
      </c>
      <c r="BO236" s="6"/>
      <c r="BP236" s="6" t="s">
        <v>24</v>
      </c>
      <c r="BQ236" s="6">
        <v>256</v>
      </c>
      <c r="BR236" s="6" t="s">
        <v>24</v>
      </c>
      <c r="BS236" s="6">
        <v>340</v>
      </c>
      <c r="BT236" s="6" t="s">
        <v>25</v>
      </c>
      <c r="BU236" s="6">
        <v>340</v>
      </c>
      <c r="BV236" s="6" t="s">
        <v>26</v>
      </c>
      <c r="BW236" s="6">
        <v>1842</v>
      </c>
      <c r="BX236" s="6">
        <v>-1.88016969547513</v>
      </c>
      <c r="BY236" s="6">
        <v>-1.60061284902057</v>
      </c>
      <c r="BZ236" s="6">
        <v>-0.210284279665084</v>
      </c>
    </row>
    <row r="237" spans="1:78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6" t="s">
        <v>24</v>
      </c>
      <c r="BB237" s="6">
        <v>256</v>
      </c>
      <c r="BC237" s="6" t="s">
        <v>24</v>
      </c>
      <c r="BD237" s="6">
        <v>340</v>
      </c>
      <c r="BE237" s="6" t="s">
        <v>25</v>
      </c>
      <c r="BF237" s="6">
        <v>324</v>
      </c>
      <c r="BG237" s="6" t="s">
        <v>26</v>
      </c>
      <c r="BH237" s="6">
        <v>1734</v>
      </c>
      <c r="BI237" s="6">
        <v>-1.33494276937526</v>
      </c>
      <c r="BJ237" s="6">
        <v>-1.12305558221247</v>
      </c>
      <c r="BK237" s="6">
        <v>0.545202580018066</v>
      </c>
      <c r="BL237" s="18"/>
      <c r="BM237" s="4">
        <f t="shared" si="8"/>
        <v>297.555</v>
      </c>
      <c r="BN237" s="15">
        <f t="shared" si="7"/>
        <v>41.5550000000001</v>
      </c>
      <c r="BO237" s="6"/>
      <c r="BP237" s="6" t="s">
        <v>24</v>
      </c>
      <c r="BQ237" s="6">
        <v>256</v>
      </c>
      <c r="BR237" s="6" t="s">
        <v>24</v>
      </c>
      <c r="BS237" s="6">
        <v>340</v>
      </c>
      <c r="BT237" s="6" t="s">
        <v>25</v>
      </c>
      <c r="BU237" s="6">
        <v>380</v>
      </c>
      <c r="BV237" s="6" t="s">
        <v>26</v>
      </c>
      <c r="BW237" s="6">
        <v>2070</v>
      </c>
      <c r="BX237" s="6">
        <v>-0.649656920740595</v>
      </c>
      <c r="BY237" s="6">
        <v>-0.556664255722247</v>
      </c>
      <c r="BZ237" s="6">
        <v>1.47089914401672</v>
      </c>
    </row>
    <row r="238" spans="1:7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18"/>
      <c r="AM238" s="18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18"/>
      <c r="AZ238" s="18"/>
      <c r="BA238" s="6" t="s">
        <v>24</v>
      </c>
      <c r="BB238" s="6">
        <v>256</v>
      </c>
      <c r="BC238" s="6" t="s">
        <v>24</v>
      </c>
      <c r="BD238" s="6">
        <v>340</v>
      </c>
      <c r="BE238" s="6" t="s">
        <v>25</v>
      </c>
      <c r="BF238" s="6">
        <v>361</v>
      </c>
      <c r="BG238" s="6" t="s">
        <v>26</v>
      </c>
      <c r="BH238" s="6">
        <v>1944</v>
      </c>
      <c r="BI238" s="6">
        <v>-0.940820210063233</v>
      </c>
      <c r="BJ238" s="6">
        <v>-0.826628582935643</v>
      </c>
      <c r="BK238" s="6">
        <v>1.02981303976258</v>
      </c>
      <c r="BL238" s="18"/>
      <c r="BM238" s="4">
        <f t="shared" si="8"/>
        <v>332.695</v>
      </c>
      <c r="BN238" s="15">
        <f t="shared" si="7"/>
        <v>76.695</v>
      </c>
      <c r="BO238" s="6"/>
      <c r="BP238" s="6" t="s">
        <v>24</v>
      </c>
      <c r="BQ238" s="6">
        <v>256</v>
      </c>
      <c r="BR238" s="6" t="s">
        <v>24</v>
      </c>
      <c r="BS238" s="6">
        <v>340</v>
      </c>
      <c r="BT238" s="6" t="s">
        <v>25</v>
      </c>
      <c r="BU238" s="6">
        <v>435</v>
      </c>
      <c r="BV238" s="6" t="s">
        <v>26</v>
      </c>
      <c r="BW238" s="6">
        <v>2388</v>
      </c>
      <c r="BX238" s="6">
        <v>-0.147314761272381</v>
      </c>
      <c r="BY238" s="6">
        <v>-0.140214836655895</v>
      </c>
      <c r="BZ238" s="6">
        <v>1.96895824836802</v>
      </c>
    </row>
    <row r="239" spans="1:78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8"/>
      <c r="AM239" s="18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18"/>
      <c r="AZ239" s="18"/>
      <c r="BA239" s="6" t="s">
        <v>24</v>
      </c>
      <c r="BB239" s="6">
        <v>256</v>
      </c>
      <c r="BC239" s="6" t="s">
        <v>24</v>
      </c>
      <c r="BD239" s="6">
        <v>340</v>
      </c>
      <c r="BE239" s="6" t="s">
        <v>25</v>
      </c>
      <c r="BF239" s="6">
        <v>400</v>
      </c>
      <c r="BG239" s="6" t="s">
        <v>26</v>
      </c>
      <c r="BH239" s="6">
        <v>2166</v>
      </c>
      <c r="BI239" s="6">
        <v>-0.241558437270473</v>
      </c>
      <c r="BJ239" s="6">
        <v>-0.221480148076069</v>
      </c>
      <c r="BK239" s="6">
        <v>1.7447728745182</v>
      </c>
      <c r="BL239" s="18"/>
      <c r="BM239" s="4">
        <f t="shared" si="8"/>
        <v>369.795</v>
      </c>
      <c r="BN239" s="15">
        <f t="shared" si="7"/>
        <v>113.795</v>
      </c>
      <c r="BO239" s="6"/>
      <c r="BP239" s="6" t="s">
        <v>24</v>
      </c>
      <c r="BQ239" s="6">
        <v>256</v>
      </c>
      <c r="BR239" s="6" t="s">
        <v>24</v>
      </c>
      <c r="BS239" s="6">
        <v>340</v>
      </c>
      <c r="BT239" s="6" t="s">
        <v>25</v>
      </c>
      <c r="BU239" s="6">
        <v>485</v>
      </c>
      <c r="BV239" s="6" t="s">
        <v>26</v>
      </c>
      <c r="BW239" s="6">
        <v>2676</v>
      </c>
      <c r="BX239" s="6">
        <v>-1.6756596357593e-5</v>
      </c>
      <c r="BY239" s="6">
        <v>-2.17341618255176e-5</v>
      </c>
      <c r="BZ239" s="6">
        <v>2.15848623440843</v>
      </c>
    </row>
    <row r="240" spans="1:78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8"/>
      <c r="AM240" s="18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18"/>
      <c r="AZ240" s="18"/>
      <c r="BA240" s="6" t="s">
        <v>24</v>
      </c>
      <c r="BB240" s="6">
        <v>256</v>
      </c>
      <c r="BC240" s="6" t="s">
        <v>24</v>
      </c>
      <c r="BD240" s="6">
        <v>340</v>
      </c>
      <c r="BE240" s="6" t="s">
        <v>25</v>
      </c>
      <c r="BF240" s="6">
        <v>441</v>
      </c>
      <c r="BG240" s="6" t="s">
        <v>26</v>
      </c>
      <c r="BH240" s="6">
        <v>2400</v>
      </c>
      <c r="BI240" s="6">
        <v>-0.0310345422990192</v>
      </c>
      <c r="BJ240" s="6">
        <v>-0.0356263796133286</v>
      </c>
      <c r="BK240" s="6">
        <v>2.26039745896819</v>
      </c>
      <c r="BL240" s="18"/>
      <c r="BM240" s="4">
        <f t="shared" si="8"/>
        <v>411.72</v>
      </c>
      <c r="BN240" s="15">
        <f t="shared" si="7"/>
        <v>155.72</v>
      </c>
      <c r="BO240" s="6"/>
      <c r="BP240" s="6" t="s">
        <v>24</v>
      </c>
      <c r="BQ240" s="6">
        <v>256</v>
      </c>
      <c r="BR240" s="6" t="s">
        <v>24</v>
      </c>
      <c r="BS240" s="6">
        <v>340</v>
      </c>
      <c r="BT240" s="6" t="s">
        <v>25</v>
      </c>
      <c r="BU240" s="6">
        <v>564</v>
      </c>
      <c r="BV240" s="6" t="s">
        <v>26</v>
      </c>
      <c r="BW240" s="6">
        <v>3138</v>
      </c>
      <c r="BX240" s="6">
        <v>-5.53263034649334e-7</v>
      </c>
      <c r="BY240" s="6">
        <v>-1.31638009246991e-6</v>
      </c>
      <c r="BZ240" s="6">
        <v>1.63584371991973</v>
      </c>
    </row>
    <row r="241" spans="1:78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18"/>
      <c r="AZ241" s="18"/>
      <c r="BA241" s="6" t="s">
        <v>24</v>
      </c>
      <c r="BB241" s="6">
        <v>256</v>
      </c>
      <c r="BC241" s="6" t="s">
        <v>24</v>
      </c>
      <c r="BD241" s="6">
        <v>340</v>
      </c>
      <c r="BE241" s="6" t="s">
        <v>25</v>
      </c>
      <c r="BF241" s="6">
        <v>484</v>
      </c>
      <c r="BG241" s="6" t="s">
        <v>26</v>
      </c>
      <c r="BH241" s="6">
        <v>2646</v>
      </c>
      <c r="BI241" s="6">
        <v>1.95361735338815e-5</v>
      </c>
      <c r="BJ241" s="6">
        <v>-3.44026707023464e-5</v>
      </c>
      <c r="BK241" s="6">
        <v>2.38090145787278</v>
      </c>
      <c r="BL241" s="18"/>
      <c r="BM241" s="4">
        <f t="shared" si="8"/>
        <v>452.88</v>
      </c>
      <c r="BN241" s="15">
        <f t="shared" ref="BN241:BN304" si="9">ABS(BB241-BM241)</f>
        <v>196.88</v>
      </c>
      <c r="BO241" s="6"/>
      <c r="BP241" s="6" t="s">
        <v>24</v>
      </c>
      <c r="BQ241" s="6">
        <v>256</v>
      </c>
      <c r="BR241" s="6" t="s">
        <v>24</v>
      </c>
      <c r="BS241" s="6">
        <v>340</v>
      </c>
      <c r="BT241" s="6" t="s">
        <v>25</v>
      </c>
      <c r="BU241" s="6">
        <v>598</v>
      </c>
      <c r="BV241" s="6" t="s">
        <v>26</v>
      </c>
      <c r="BW241" s="6">
        <v>3330</v>
      </c>
      <c r="BX241" s="6">
        <v>-7.31864897263165e-7</v>
      </c>
      <c r="BY241" s="6">
        <v>-9.80980536849131e-7</v>
      </c>
      <c r="BZ241" s="6">
        <v>1.51768104495165</v>
      </c>
    </row>
    <row r="242" spans="1:78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18"/>
      <c r="AM242" s="18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18"/>
      <c r="AZ242" s="18"/>
      <c r="BA242" s="6" t="s">
        <v>24</v>
      </c>
      <c r="BB242" s="6">
        <v>256</v>
      </c>
      <c r="BC242" s="6" t="s">
        <v>24</v>
      </c>
      <c r="BD242" s="6">
        <v>340</v>
      </c>
      <c r="BE242" s="6" t="s">
        <v>25</v>
      </c>
      <c r="BF242" s="6">
        <v>529</v>
      </c>
      <c r="BG242" s="6" t="s">
        <v>26</v>
      </c>
      <c r="BH242" s="6">
        <v>2904</v>
      </c>
      <c r="BI242" s="6">
        <v>-2.35342833279623e-6</v>
      </c>
      <c r="BJ242" s="6">
        <v>-5.20190675772447e-6</v>
      </c>
      <c r="BK242" s="6">
        <v>1.92448589708659</v>
      </c>
      <c r="BL242" s="18"/>
      <c r="BM242" s="4">
        <f t="shared" si="8"/>
        <v>496</v>
      </c>
      <c r="BN242" s="15">
        <f t="shared" si="9"/>
        <v>240</v>
      </c>
      <c r="BO242" s="6"/>
      <c r="BP242" s="6" t="s">
        <v>24</v>
      </c>
      <c r="BQ242" s="6">
        <v>256</v>
      </c>
      <c r="BR242" s="6" t="s">
        <v>24</v>
      </c>
      <c r="BS242" s="6">
        <v>340</v>
      </c>
      <c r="BT242" s="6" t="s">
        <v>25</v>
      </c>
      <c r="BU242" s="6">
        <v>668</v>
      </c>
      <c r="BV242" s="6" t="s">
        <v>26</v>
      </c>
      <c r="BW242" s="6">
        <v>3738</v>
      </c>
      <c r="BX242" s="6">
        <v>-1.04611588695985e-6</v>
      </c>
      <c r="BY242" s="6">
        <v>-9.57114207831044e-7</v>
      </c>
      <c r="BZ242" s="6">
        <v>1.42535914723133</v>
      </c>
    </row>
    <row r="243" spans="1:78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18"/>
      <c r="AM243" s="18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18"/>
      <c r="AZ243" s="18"/>
      <c r="BA243" s="6" t="s">
        <v>24</v>
      </c>
      <c r="BB243" s="6">
        <v>256</v>
      </c>
      <c r="BC243" s="6" t="s">
        <v>24</v>
      </c>
      <c r="BD243" s="6">
        <v>340</v>
      </c>
      <c r="BE243" s="6" t="s">
        <v>25</v>
      </c>
      <c r="BF243" s="6">
        <v>576</v>
      </c>
      <c r="BG243" s="6" t="s">
        <v>26</v>
      </c>
      <c r="BH243" s="6">
        <v>3174</v>
      </c>
      <c r="BI243" s="6">
        <v>-9.52444671270198e-7</v>
      </c>
      <c r="BJ243" s="6">
        <v>-2.25208236200703e-6</v>
      </c>
      <c r="BK243" s="6">
        <v>1.75308260352194</v>
      </c>
      <c r="BL243" s="18"/>
      <c r="BM243" s="4">
        <f t="shared" si="8"/>
        <v>541.08</v>
      </c>
      <c r="BN243" s="15">
        <f t="shared" si="9"/>
        <v>285.08</v>
      </c>
      <c r="BO243" s="6"/>
      <c r="BP243" s="6" t="s">
        <v>24</v>
      </c>
      <c r="BQ243" s="6">
        <v>256</v>
      </c>
      <c r="BR243" s="6" t="s">
        <v>24</v>
      </c>
      <c r="BS243" s="6">
        <v>340</v>
      </c>
      <c r="BT243" s="6" t="s">
        <v>25</v>
      </c>
      <c r="BU243" s="6">
        <v>741</v>
      </c>
      <c r="BV243" s="6" t="s">
        <v>26</v>
      </c>
      <c r="BW243" s="6">
        <v>4164</v>
      </c>
      <c r="BX243" s="6">
        <v>-5.52083193970025e-7</v>
      </c>
      <c r="BY243" s="6">
        <v>-5.6177836694887e-7</v>
      </c>
      <c r="BZ243" s="6">
        <v>1.33031985089317</v>
      </c>
    </row>
    <row r="244" spans="1:78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18"/>
      <c r="AM244" s="18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18"/>
      <c r="AZ244" s="18"/>
      <c r="BA244" s="6" t="s">
        <v>24</v>
      </c>
      <c r="BB244" s="6">
        <v>256</v>
      </c>
      <c r="BC244" s="6" t="s">
        <v>24</v>
      </c>
      <c r="BD244" s="6">
        <v>340</v>
      </c>
      <c r="BE244" s="6" t="s">
        <v>25</v>
      </c>
      <c r="BF244" s="6">
        <v>625</v>
      </c>
      <c r="BG244" s="6" t="s">
        <v>26</v>
      </c>
      <c r="BH244" s="6">
        <v>3456</v>
      </c>
      <c r="BI244" s="6">
        <v>-1.15301845589144e-6</v>
      </c>
      <c r="BJ244" s="6">
        <v>-1.75451559611173e-6</v>
      </c>
      <c r="BK244" s="6">
        <v>1.66090611315053</v>
      </c>
      <c r="BL244" s="18"/>
      <c r="BM244" s="4">
        <f t="shared" si="8"/>
        <v>588.12</v>
      </c>
      <c r="BN244" s="15">
        <f t="shared" si="9"/>
        <v>332.12</v>
      </c>
      <c r="BO244" s="6"/>
      <c r="BP244" s="6" t="s">
        <v>24</v>
      </c>
      <c r="BQ244" s="6">
        <v>256</v>
      </c>
      <c r="BR244" s="6" t="s">
        <v>24</v>
      </c>
      <c r="BS244" s="6">
        <v>340</v>
      </c>
      <c r="BT244" s="6" t="s">
        <v>25</v>
      </c>
      <c r="BU244" s="6">
        <v>797</v>
      </c>
      <c r="BV244" s="6" t="s">
        <v>26</v>
      </c>
      <c r="BW244" s="6">
        <v>4488</v>
      </c>
      <c r="BX244" s="6">
        <v>-7.0405774477821e-7</v>
      </c>
      <c r="BY244" s="6">
        <v>-6.31679240816687e-7</v>
      </c>
      <c r="BZ244" s="6">
        <v>1.32299189441956</v>
      </c>
    </row>
    <row r="245" spans="1:78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18"/>
      <c r="AM245" s="18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18"/>
      <c r="AZ245" s="18"/>
      <c r="BA245" s="6" t="s">
        <v>24</v>
      </c>
      <c r="BB245" s="6">
        <v>256</v>
      </c>
      <c r="BC245" s="6" t="s">
        <v>24</v>
      </c>
      <c r="BD245" s="6">
        <v>340</v>
      </c>
      <c r="BE245" s="6" t="s">
        <v>25</v>
      </c>
      <c r="BF245" s="6">
        <v>676</v>
      </c>
      <c r="BG245" s="6" t="s">
        <v>26</v>
      </c>
      <c r="BH245" s="6">
        <v>3750</v>
      </c>
      <c r="BI245" s="6">
        <v>-5.39610401169637e-7</v>
      </c>
      <c r="BJ245" s="6">
        <v>-1.10685054876068e-6</v>
      </c>
      <c r="BK245" s="6">
        <v>1.58697739894882</v>
      </c>
      <c r="BL245" s="18"/>
      <c r="BM245" s="4">
        <f t="shared" si="8"/>
        <v>637.12</v>
      </c>
      <c r="BN245" s="15">
        <f t="shared" si="9"/>
        <v>381.12</v>
      </c>
      <c r="BO245" s="6"/>
      <c r="BP245" s="6" t="s">
        <v>24</v>
      </c>
      <c r="BQ245" s="6">
        <v>256</v>
      </c>
      <c r="BR245" s="6" t="s">
        <v>24</v>
      </c>
      <c r="BS245" s="6">
        <v>340</v>
      </c>
      <c r="BT245" s="6" t="s">
        <v>25</v>
      </c>
      <c r="BU245" s="6">
        <v>861</v>
      </c>
      <c r="BV245" s="6" t="s">
        <v>26</v>
      </c>
      <c r="BW245" s="6">
        <v>4860</v>
      </c>
      <c r="BX245" s="6">
        <v>-5.45977808953173e-7</v>
      </c>
      <c r="BY245" s="6">
        <v>-5.05790472483969e-7</v>
      </c>
      <c r="BZ245" s="6">
        <v>1.28457406726153</v>
      </c>
    </row>
    <row r="246" spans="1:78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18"/>
      <c r="AM246" s="18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18"/>
      <c r="AZ246" s="18"/>
      <c r="BA246" s="6" t="s">
        <v>24</v>
      </c>
      <c r="BB246" s="6">
        <v>256</v>
      </c>
      <c r="BC246" s="6" t="s">
        <v>24</v>
      </c>
      <c r="BD246" s="6">
        <v>340</v>
      </c>
      <c r="BE246" s="6" t="s">
        <v>25</v>
      </c>
      <c r="BF246" s="6">
        <v>729</v>
      </c>
      <c r="BG246" s="6" t="s">
        <v>26</v>
      </c>
      <c r="BH246" s="6">
        <v>4056</v>
      </c>
      <c r="BI246" s="6">
        <v>-3.21304824132301e-7</v>
      </c>
      <c r="BJ246" s="6">
        <v>-7.79115288518068e-7</v>
      </c>
      <c r="BK246" s="6">
        <v>1.52264170824502</v>
      </c>
      <c r="BL246" s="18"/>
      <c r="BM246" s="4">
        <f t="shared" si="8"/>
        <v>688.08</v>
      </c>
      <c r="BN246" s="15">
        <f t="shared" si="9"/>
        <v>432.08</v>
      </c>
      <c r="BO246" s="6"/>
      <c r="BP246" s="6" t="s">
        <v>24</v>
      </c>
      <c r="BQ246" s="6">
        <v>256</v>
      </c>
      <c r="BR246" s="6" t="s">
        <v>24</v>
      </c>
      <c r="BS246" s="6">
        <v>340</v>
      </c>
      <c r="BT246" s="6" t="s">
        <v>25</v>
      </c>
      <c r="BU246" s="6">
        <v>927</v>
      </c>
      <c r="BV246" s="6" t="s">
        <v>26</v>
      </c>
      <c r="BW246" s="6">
        <v>5244</v>
      </c>
      <c r="BX246" s="6">
        <v>-5.31438659408531e-7</v>
      </c>
      <c r="BY246" s="6">
        <v>-4.82655318558604e-7</v>
      </c>
      <c r="BZ246" s="6">
        <v>1.2688029701551</v>
      </c>
    </row>
    <row r="247" spans="1:78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18"/>
      <c r="AM247" s="18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18"/>
      <c r="AZ247" s="18"/>
      <c r="BA247" s="6" t="s">
        <v>24</v>
      </c>
      <c r="BB247" s="6">
        <v>256</v>
      </c>
      <c r="BC247" s="6" t="s">
        <v>24</v>
      </c>
      <c r="BD247" s="6">
        <v>340</v>
      </c>
      <c r="BE247" s="6" t="s">
        <v>25</v>
      </c>
      <c r="BF247" s="6">
        <v>784</v>
      </c>
      <c r="BG247" s="6" t="s">
        <v>26</v>
      </c>
      <c r="BH247" s="6">
        <v>4374</v>
      </c>
      <c r="BI247" s="6">
        <v>-5.35070361801423e-7</v>
      </c>
      <c r="BJ247" s="6">
        <v>-7.73915819206977e-7</v>
      </c>
      <c r="BK247" s="6">
        <v>1.46912026201959</v>
      </c>
      <c r="BL247" s="18"/>
      <c r="BM247" s="4">
        <f t="shared" si="8"/>
        <v>744.855</v>
      </c>
      <c r="BN247" s="15">
        <f t="shared" si="9"/>
        <v>488.855</v>
      </c>
      <c r="BO247" s="6"/>
      <c r="BP247" s="6" t="s">
        <v>24</v>
      </c>
      <c r="BQ247" s="6">
        <v>256</v>
      </c>
      <c r="BR247" s="6" t="s">
        <v>24</v>
      </c>
      <c r="BS247" s="6">
        <v>340</v>
      </c>
      <c r="BT247" s="6" t="s">
        <v>25</v>
      </c>
      <c r="BU247" s="6">
        <v>977</v>
      </c>
      <c r="BV247" s="6" t="s">
        <v>26</v>
      </c>
      <c r="BW247" s="6">
        <v>5532</v>
      </c>
      <c r="BX247" s="6">
        <v>-5.02683914559042e-7</v>
      </c>
      <c r="BY247" s="6">
        <v>-4.63508430239831e-7</v>
      </c>
      <c r="BZ247" s="6">
        <v>1.26108716421688</v>
      </c>
    </row>
    <row r="248" spans="1:7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18"/>
      <c r="AM248" s="18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18"/>
      <c r="AZ248" s="18"/>
      <c r="BA248" s="6" t="s">
        <v>24</v>
      </c>
      <c r="BB248" s="6">
        <v>256</v>
      </c>
      <c r="BC248" s="6" t="s">
        <v>24</v>
      </c>
      <c r="BD248" s="6">
        <v>340</v>
      </c>
      <c r="BE248" s="6" t="s">
        <v>25</v>
      </c>
      <c r="BF248" s="6">
        <v>841</v>
      </c>
      <c r="BG248" s="6" t="s">
        <v>26</v>
      </c>
      <c r="BH248" s="6">
        <v>4704</v>
      </c>
      <c r="BI248" s="6">
        <v>-4.72265994027204e-7</v>
      </c>
      <c r="BJ248" s="6">
        <v>-5.78120786183327e-7</v>
      </c>
      <c r="BK248" s="6">
        <v>1.38239585019941</v>
      </c>
      <c r="BL248" s="18"/>
      <c r="BM248" s="4">
        <f t="shared" si="8"/>
        <v>799.875</v>
      </c>
      <c r="BN248" s="15">
        <f t="shared" si="9"/>
        <v>543.875</v>
      </c>
      <c r="BO248" s="6"/>
      <c r="BP248" s="6" t="s">
        <v>24</v>
      </c>
      <c r="BQ248" s="6">
        <v>256</v>
      </c>
      <c r="BR248" s="6" t="s">
        <v>24</v>
      </c>
      <c r="BS248" s="6">
        <v>340</v>
      </c>
      <c r="BT248" s="6" t="s">
        <v>25</v>
      </c>
      <c r="BU248" s="6">
        <v>1034</v>
      </c>
      <c r="BV248" s="6" t="s">
        <v>26</v>
      </c>
      <c r="BW248" s="6">
        <v>5862</v>
      </c>
      <c r="BX248" s="6">
        <v>-5.33458943067785e-7</v>
      </c>
      <c r="BY248" s="6">
        <v>-4.73154354382239e-7</v>
      </c>
      <c r="BZ248" s="6">
        <v>1.25488450562058</v>
      </c>
    </row>
    <row r="249" spans="1:78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18"/>
      <c r="AM249" s="18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18"/>
      <c r="AZ249" s="18"/>
      <c r="BA249" s="6" t="s">
        <v>24</v>
      </c>
      <c r="BB249" s="6">
        <v>256</v>
      </c>
      <c r="BC249" s="6" t="s">
        <v>24</v>
      </c>
      <c r="BD249" s="6">
        <v>340</v>
      </c>
      <c r="BE249" s="6" t="s">
        <v>25</v>
      </c>
      <c r="BF249" s="6">
        <v>900</v>
      </c>
      <c r="BG249" s="6" t="s">
        <v>26</v>
      </c>
      <c r="BH249" s="6">
        <v>5046</v>
      </c>
      <c r="BI249" s="6">
        <v>-5.17820115052903e-7</v>
      </c>
      <c r="BJ249" s="6">
        <v>-5.41808900567859e-7</v>
      </c>
      <c r="BK249" s="6">
        <v>1.33490804310362</v>
      </c>
      <c r="BL249" s="18"/>
      <c r="BM249" s="4">
        <f t="shared" si="8"/>
        <v>856.855</v>
      </c>
      <c r="BN249" s="15">
        <f t="shared" si="9"/>
        <v>600.855</v>
      </c>
      <c r="BO249" s="6"/>
      <c r="BP249" s="6" t="s">
        <v>24</v>
      </c>
      <c r="BQ249" s="6">
        <v>256</v>
      </c>
      <c r="BR249" s="6" t="s">
        <v>24</v>
      </c>
      <c r="BS249" s="6">
        <v>340</v>
      </c>
      <c r="BT249" s="6" t="s">
        <v>25</v>
      </c>
      <c r="BU249" s="6">
        <v>1085</v>
      </c>
      <c r="BV249" s="6" t="s">
        <v>26</v>
      </c>
      <c r="BW249" s="6">
        <v>6156</v>
      </c>
      <c r="BX249" s="6">
        <v>-4.72422594034934e-7</v>
      </c>
      <c r="BY249" s="6">
        <v>-4.28005693395917e-7</v>
      </c>
      <c r="BZ249" s="6">
        <v>1.24183657693461</v>
      </c>
    </row>
    <row r="250" spans="1:78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18"/>
      <c r="AM250" s="18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18"/>
      <c r="AZ250" s="18"/>
      <c r="BA250" s="6" t="s">
        <v>24</v>
      </c>
      <c r="BB250" s="6">
        <v>256</v>
      </c>
      <c r="BC250" s="6" t="s">
        <v>24</v>
      </c>
      <c r="BD250" s="6">
        <v>340</v>
      </c>
      <c r="BE250" s="6" t="s">
        <v>25</v>
      </c>
      <c r="BF250" s="6">
        <v>961</v>
      </c>
      <c r="BG250" s="6" t="s">
        <v>26</v>
      </c>
      <c r="BH250" s="6">
        <v>5400</v>
      </c>
      <c r="BI250" s="6">
        <v>-5.044733471748e-7</v>
      </c>
      <c r="BJ250" s="6">
        <v>-4.92185735079949e-7</v>
      </c>
      <c r="BK250" s="6">
        <v>1.29485560254387</v>
      </c>
      <c r="BL250" s="18"/>
      <c r="BM250" s="4">
        <f t="shared" si="8"/>
        <v>915.795</v>
      </c>
      <c r="BN250" s="15">
        <f t="shared" si="9"/>
        <v>659.795</v>
      </c>
      <c r="BO250" s="6"/>
      <c r="BP250" s="6" t="s">
        <v>24</v>
      </c>
      <c r="BQ250" s="6">
        <v>256</v>
      </c>
      <c r="BR250" s="6" t="s">
        <v>24</v>
      </c>
      <c r="BS250" s="6">
        <v>340</v>
      </c>
      <c r="BT250" s="6" t="s">
        <v>25</v>
      </c>
      <c r="BU250" s="6">
        <v>1177</v>
      </c>
      <c r="BV250" s="6" t="s">
        <v>26</v>
      </c>
      <c r="BW250" s="6">
        <v>6696</v>
      </c>
      <c r="BX250" s="6">
        <v>-4.45005327139206e-7</v>
      </c>
      <c r="BY250" s="6">
        <v>-3.98403182180043e-7</v>
      </c>
      <c r="BZ250" s="6">
        <v>1.22065232998882</v>
      </c>
    </row>
    <row r="251" spans="1:78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18"/>
      <c r="AM251" s="18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18"/>
      <c r="AZ251" s="18"/>
      <c r="BA251" s="6" t="s">
        <v>24</v>
      </c>
      <c r="BB251" s="6">
        <v>256</v>
      </c>
      <c r="BC251" s="6" t="s">
        <v>24</v>
      </c>
      <c r="BD251" s="6">
        <v>340</v>
      </c>
      <c r="BE251" s="6" t="s">
        <v>25</v>
      </c>
      <c r="BF251" s="6">
        <v>1024</v>
      </c>
      <c r="BG251" s="6" t="s">
        <v>26</v>
      </c>
      <c r="BH251" s="6">
        <v>5766</v>
      </c>
      <c r="BI251" s="6">
        <v>-4.81132089696178e-7</v>
      </c>
      <c r="BJ251" s="6">
        <v>-4.61963201109687e-7</v>
      </c>
      <c r="BK251" s="6">
        <v>1.27378649790824</v>
      </c>
      <c r="BL251" s="18"/>
      <c r="BM251" s="4">
        <f t="shared" si="8"/>
        <v>976.695</v>
      </c>
      <c r="BN251" s="15">
        <f t="shared" si="9"/>
        <v>720.695</v>
      </c>
      <c r="BO251" s="6"/>
      <c r="BP251" s="6" t="s">
        <v>24</v>
      </c>
      <c r="BQ251" s="6">
        <v>256</v>
      </c>
      <c r="BR251" s="6" t="s">
        <v>24</v>
      </c>
      <c r="BS251" s="6">
        <v>340</v>
      </c>
      <c r="BT251" s="6" t="s">
        <v>25</v>
      </c>
      <c r="BU251" s="6">
        <v>1243</v>
      </c>
      <c r="BV251" s="6" t="s">
        <v>26</v>
      </c>
      <c r="BW251" s="6">
        <v>7080</v>
      </c>
      <c r="BX251" s="6">
        <v>-3.99335220913502e-7</v>
      </c>
      <c r="BY251" s="6">
        <v>-3.65090760664899e-7</v>
      </c>
      <c r="BZ251" s="6">
        <v>1.20844278244401</v>
      </c>
    </row>
    <row r="252" spans="1:78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18"/>
      <c r="AM252" s="18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18"/>
      <c r="AZ252" s="18"/>
      <c r="BA252" s="6" t="s">
        <v>24</v>
      </c>
      <c r="BB252" s="6">
        <v>256</v>
      </c>
      <c r="BC252" s="6" t="s">
        <v>24</v>
      </c>
      <c r="BD252" s="6">
        <v>340</v>
      </c>
      <c r="BE252" s="6" t="s">
        <v>25</v>
      </c>
      <c r="BF252" s="6">
        <v>1089</v>
      </c>
      <c r="BG252" s="6" t="s">
        <v>26</v>
      </c>
      <c r="BH252" s="6">
        <v>6144</v>
      </c>
      <c r="BI252" s="6">
        <v>-4.43696671421879e-7</v>
      </c>
      <c r="BJ252" s="6">
        <v>-4.25189382292457e-7</v>
      </c>
      <c r="BK252" s="6">
        <v>1.25423526005921</v>
      </c>
      <c r="BL252" s="18"/>
      <c r="BM252" s="4">
        <f t="shared" si="8"/>
        <v>1039.555</v>
      </c>
      <c r="BN252" s="15">
        <f t="shared" si="9"/>
        <v>783.555</v>
      </c>
      <c r="BO252" s="6"/>
      <c r="BP252" s="6" t="s">
        <v>24</v>
      </c>
      <c r="BQ252" s="6">
        <v>256</v>
      </c>
      <c r="BR252" s="6" t="s">
        <v>24</v>
      </c>
      <c r="BS252" s="6">
        <v>340</v>
      </c>
      <c r="BT252" s="6" t="s">
        <v>25</v>
      </c>
      <c r="BU252" s="6">
        <v>1325</v>
      </c>
      <c r="BV252" s="6" t="s">
        <v>26</v>
      </c>
      <c r="BW252" s="6">
        <v>7560</v>
      </c>
      <c r="BX252" s="6">
        <v>-3.96408626947178e-7</v>
      </c>
      <c r="BY252" s="6">
        <v>-3.60996373640074e-7</v>
      </c>
      <c r="BZ252" s="6">
        <v>1.20469546828671</v>
      </c>
    </row>
    <row r="253" spans="1:78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18"/>
      <c r="AM253" s="18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18"/>
      <c r="AZ253" s="18"/>
      <c r="BA253" s="10" t="s">
        <v>35</v>
      </c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8"/>
      <c r="BM253" s="4"/>
      <c r="BN253" s="15"/>
      <c r="BO253" s="6"/>
      <c r="BP253" s="10" t="s">
        <v>35</v>
      </c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</row>
    <row r="254" ht="23.25" spans="1:78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18"/>
      <c r="AM254" s="18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18"/>
      <c r="AZ254" s="18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8"/>
      <c r="BM254" s="4"/>
      <c r="BN254" s="15"/>
      <c r="BO254" s="3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</row>
    <row r="255" ht="23.25" spans="1:78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18"/>
      <c r="AM255" s="18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18"/>
      <c r="AZ255" s="18"/>
      <c r="BA255" s="6" t="s">
        <v>12</v>
      </c>
      <c r="BB255" s="6" t="s">
        <v>13</v>
      </c>
      <c r="BC255" s="6" t="s">
        <v>14</v>
      </c>
      <c r="BD255" s="6" t="s">
        <v>15</v>
      </c>
      <c r="BE255" s="6" t="s">
        <v>16</v>
      </c>
      <c r="BF255" s="6" t="s">
        <v>17</v>
      </c>
      <c r="BG255" s="6" t="s">
        <v>18</v>
      </c>
      <c r="BH255" s="6" t="s">
        <v>19</v>
      </c>
      <c r="BI255" s="6" t="s">
        <v>20</v>
      </c>
      <c r="BJ255" s="6" t="s">
        <v>21</v>
      </c>
      <c r="BK255" s="6" t="s">
        <v>22</v>
      </c>
      <c r="BL255" s="18"/>
      <c r="BM255" s="4"/>
      <c r="BN255" s="15"/>
      <c r="BO255" s="3"/>
      <c r="BP255" s="6" t="s">
        <v>12</v>
      </c>
      <c r="BQ255" s="6" t="s">
        <v>13</v>
      </c>
      <c r="BR255" s="6" t="s">
        <v>14</v>
      </c>
      <c r="BS255" s="6" t="s">
        <v>15</v>
      </c>
      <c r="BT255" s="6" t="s">
        <v>16</v>
      </c>
      <c r="BU255" s="6" t="s">
        <v>17</v>
      </c>
      <c r="BV255" s="6" t="s">
        <v>18</v>
      </c>
      <c r="BW255" s="6" t="s">
        <v>19</v>
      </c>
      <c r="BX255" s="6" t="s">
        <v>20</v>
      </c>
      <c r="BY255" s="6" t="s">
        <v>21</v>
      </c>
      <c r="BZ255" s="6" t="s">
        <v>22</v>
      </c>
    </row>
    <row r="256" spans="1:78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18"/>
      <c r="AM256" s="18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18"/>
      <c r="AZ256" s="18"/>
      <c r="BA256" s="6" t="s">
        <v>24</v>
      </c>
      <c r="BB256" s="6">
        <v>297</v>
      </c>
      <c r="BC256" s="6" t="s">
        <v>24</v>
      </c>
      <c r="BD256" s="6">
        <v>340</v>
      </c>
      <c r="BE256" s="6" t="s">
        <v>25</v>
      </c>
      <c r="BF256" s="6">
        <v>256</v>
      </c>
      <c r="BG256" s="6" t="s">
        <v>26</v>
      </c>
      <c r="BH256" s="6">
        <v>1350</v>
      </c>
      <c r="BI256" s="6">
        <v>-1.90427062740533</v>
      </c>
      <c r="BJ256" s="6">
        <v>-1.74833120509872</v>
      </c>
      <c r="BK256" s="6">
        <v>-0.499397346118133</v>
      </c>
      <c r="BL256" s="18"/>
      <c r="BM256" s="4">
        <f t="shared" si="8"/>
        <v>233.155</v>
      </c>
      <c r="BN256" s="15">
        <f t="shared" si="9"/>
        <v>63.845</v>
      </c>
      <c r="BO256" s="4"/>
      <c r="BP256" s="6" t="s">
        <v>24</v>
      </c>
      <c r="BQ256" s="6">
        <v>297</v>
      </c>
      <c r="BR256" s="6" t="s">
        <v>24</v>
      </c>
      <c r="BS256" s="6">
        <v>340</v>
      </c>
      <c r="BT256" s="6" t="s">
        <v>25</v>
      </c>
      <c r="BU256" s="6">
        <v>297</v>
      </c>
      <c r="BV256" s="6" t="s">
        <v>26</v>
      </c>
      <c r="BW256" s="6">
        <v>1596</v>
      </c>
      <c r="BX256" s="6">
        <v>-2.1737237021571</v>
      </c>
      <c r="BY256" s="6">
        <v>-1.85354027753787</v>
      </c>
      <c r="BZ256" s="6">
        <v>-0.449100342707492</v>
      </c>
    </row>
    <row r="257" spans="1:78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18"/>
      <c r="AM257" s="18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18"/>
      <c r="AZ257" s="18"/>
      <c r="BA257" s="6" t="s">
        <v>24</v>
      </c>
      <c r="BB257" s="6">
        <v>297</v>
      </c>
      <c r="BC257" s="6" t="s">
        <v>24</v>
      </c>
      <c r="BD257" s="6">
        <v>340</v>
      </c>
      <c r="BE257" s="6" t="s">
        <v>25</v>
      </c>
      <c r="BF257" s="6">
        <v>289</v>
      </c>
      <c r="BG257" s="6" t="s">
        <v>26</v>
      </c>
      <c r="BH257" s="6">
        <v>1536</v>
      </c>
      <c r="BI257" s="6">
        <v>-2.06017031300008</v>
      </c>
      <c r="BJ257" s="6">
        <v>-1.67815329212553</v>
      </c>
      <c r="BK257" s="6">
        <v>-0.297734221746909</v>
      </c>
      <c r="BL257" s="18"/>
      <c r="BM257" s="4">
        <f t="shared" si="8"/>
        <v>264.375</v>
      </c>
      <c r="BN257" s="15">
        <f t="shared" si="9"/>
        <v>32.625</v>
      </c>
      <c r="BO257" s="6"/>
      <c r="BP257" s="6" t="s">
        <v>24</v>
      </c>
      <c r="BQ257" s="6">
        <v>297</v>
      </c>
      <c r="BR257" s="6" t="s">
        <v>24</v>
      </c>
      <c r="BS257" s="6">
        <v>340</v>
      </c>
      <c r="BT257" s="6" t="s">
        <v>25</v>
      </c>
      <c r="BU257" s="6">
        <v>340</v>
      </c>
      <c r="BV257" s="6" t="s">
        <v>26</v>
      </c>
      <c r="BW257" s="6">
        <v>1842</v>
      </c>
      <c r="BX257" s="6">
        <v>-1.9488084947678</v>
      </c>
      <c r="BY257" s="6">
        <v>-1.63539633841637</v>
      </c>
      <c r="BZ257" s="6">
        <v>-0.259859374630819</v>
      </c>
    </row>
    <row r="258" spans="1:7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18"/>
      <c r="AM258" s="18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8"/>
      <c r="AZ258" s="18"/>
      <c r="BA258" s="11" t="s">
        <v>24</v>
      </c>
      <c r="BB258" s="11">
        <v>297</v>
      </c>
      <c r="BC258" s="11" t="s">
        <v>24</v>
      </c>
      <c r="BD258" s="11">
        <v>340</v>
      </c>
      <c r="BE258" s="11" t="s">
        <v>25</v>
      </c>
      <c r="BF258" s="11">
        <v>324</v>
      </c>
      <c r="BG258" s="11" t="s">
        <v>26</v>
      </c>
      <c r="BH258" s="11">
        <v>1734</v>
      </c>
      <c r="BI258" s="11">
        <v>-1.33558340995221</v>
      </c>
      <c r="BJ258" s="11">
        <v>-1.14395242419742</v>
      </c>
      <c r="BK258" s="11">
        <v>0.483043350107485</v>
      </c>
      <c r="BL258" s="20"/>
      <c r="BM258" s="12">
        <f t="shared" si="8"/>
        <v>297.555</v>
      </c>
      <c r="BN258" s="15">
        <f t="shared" si="9"/>
        <v>0.555000000000064</v>
      </c>
      <c r="BO258" s="6"/>
      <c r="BP258" s="6" t="s">
        <v>24</v>
      </c>
      <c r="BQ258" s="6">
        <v>297</v>
      </c>
      <c r="BR258" s="6" t="s">
        <v>24</v>
      </c>
      <c r="BS258" s="6">
        <v>340</v>
      </c>
      <c r="BT258" s="6" t="s">
        <v>25</v>
      </c>
      <c r="BU258" s="6">
        <v>380</v>
      </c>
      <c r="BV258" s="6" t="s">
        <v>26</v>
      </c>
      <c r="BW258" s="6">
        <v>2070</v>
      </c>
      <c r="BX258" s="6">
        <v>-0.865997567749718</v>
      </c>
      <c r="BY258" s="6">
        <v>-0.753730248109761</v>
      </c>
      <c r="BZ258" s="6">
        <v>1.14336625293616</v>
      </c>
    </row>
    <row r="259" spans="1:78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18"/>
      <c r="AM259" s="18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8"/>
      <c r="AZ259" s="18"/>
      <c r="BA259" s="6" t="s">
        <v>24</v>
      </c>
      <c r="BB259" s="6">
        <v>297</v>
      </c>
      <c r="BC259" s="6" t="s">
        <v>24</v>
      </c>
      <c r="BD259" s="6">
        <v>340</v>
      </c>
      <c r="BE259" s="6" t="s">
        <v>25</v>
      </c>
      <c r="BF259" s="6">
        <v>361</v>
      </c>
      <c r="BG259" s="6" t="s">
        <v>26</v>
      </c>
      <c r="BH259" s="6">
        <v>1944</v>
      </c>
      <c r="BI259" s="6">
        <v>-1.17093067495974</v>
      </c>
      <c r="BJ259" s="6">
        <v>-1.01899364278694</v>
      </c>
      <c r="BK259" s="6">
        <v>0.767842442161346</v>
      </c>
      <c r="BL259" s="18"/>
      <c r="BM259" s="4">
        <f t="shared" si="8"/>
        <v>332.695</v>
      </c>
      <c r="BN259" s="15">
        <f t="shared" si="9"/>
        <v>35.695</v>
      </c>
      <c r="BO259" s="6"/>
      <c r="BP259" s="6" t="s">
        <v>24</v>
      </c>
      <c r="BQ259" s="6">
        <v>297</v>
      </c>
      <c r="BR259" s="6" t="s">
        <v>24</v>
      </c>
      <c r="BS259" s="6">
        <v>340</v>
      </c>
      <c r="BT259" s="6" t="s">
        <v>25</v>
      </c>
      <c r="BU259" s="6">
        <v>435</v>
      </c>
      <c r="BV259" s="6" t="s">
        <v>26</v>
      </c>
      <c r="BW259" s="6">
        <v>2388</v>
      </c>
      <c r="BX259" s="6">
        <v>-0.335140859165267</v>
      </c>
      <c r="BY259" s="6">
        <v>-0.304123809466486</v>
      </c>
      <c r="BZ259" s="6">
        <v>1.89127153245693</v>
      </c>
    </row>
    <row r="260" spans="1:78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6" t="s">
        <v>24</v>
      </c>
      <c r="BB260" s="6">
        <v>297</v>
      </c>
      <c r="BC260" s="6" t="s">
        <v>24</v>
      </c>
      <c r="BD260" s="6">
        <v>340</v>
      </c>
      <c r="BE260" s="6" t="s">
        <v>25</v>
      </c>
      <c r="BF260" s="6">
        <v>400</v>
      </c>
      <c r="BG260" s="6" t="s">
        <v>26</v>
      </c>
      <c r="BH260" s="6">
        <v>2166</v>
      </c>
      <c r="BI260" s="6">
        <v>-0.521075794753358</v>
      </c>
      <c r="BJ260" s="6">
        <v>-0.436746352721233</v>
      </c>
      <c r="BK260" s="6">
        <v>1.37349822254047</v>
      </c>
      <c r="BL260" s="18"/>
      <c r="BM260" s="4">
        <f t="shared" si="8"/>
        <v>369.795</v>
      </c>
      <c r="BN260" s="15">
        <f t="shared" si="9"/>
        <v>72.7950000000001</v>
      </c>
      <c r="BO260" s="6"/>
      <c r="BP260" s="6" t="s">
        <v>24</v>
      </c>
      <c r="BQ260" s="6">
        <v>297</v>
      </c>
      <c r="BR260" s="6" t="s">
        <v>24</v>
      </c>
      <c r="BS260" s="6">
        <v>340</v>
      </c>
      <c r="BT260" s="6" t="s">
        <v>25</v>
      </c>
      <c r="BU260" s="6">
        <v>485</v>
      </c>
      <c r="BV260" s="6" t="s">
        <v>26</v>
      </c>
      <c r="BW260" s="6">
        <v>2676</v>
      </c>
      <c r="BX260" s="6">
        <v>0.00122294782930897</v>
      </c>
      <c r="BY260" s="6">
        <v>0.000186618490065142</v>
      </c>
      <c r="BZ260" s="6">
        <v>2.63942526159179</v>
      </c>
    </row>
    <row r="261" spans="1:78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18"/>
      <c r="AM261" s="18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18"/>
      <c r="AZ261" s="18"/>
      <c r="BA261" s="6" t="s">
        <v>24</v>
      </c>
      <c r="BB261" s="6">
        <v>297</v>
      </c>
      <c r="BC261" s="6" t="s">
        <v>24</v>
      </c>
      <c r="BD261" s="6">
        <v>340</v>
      </c>
      <c r="BE261" s="6" t="s">
        <v>25</v>
      </c>
      <c r="BF261" s="6">
        <v>441</v>
      </c>
      <c r="BG261" s="6" t="s">
        <v>26</v>
      </c>
      <c r="BH261" s="6">
        <v>2400</v>
      </c>
      <c r="BI261" s="6">
        <v>-0.226311408064521</v>
      </c>
      <c r="BJ261" s="6">
        <v>-0.196222707502092</v>
      </c>
      <c r="BK261" s="6">
        <v>1.90728094240197</v>
      </c>
      <c r="BL261" s="18"/>
      <c r="BM261" s="4">
        <f t="shared" si="8"/>
        <v>411.72</v>
      </c>
      <c r="BN261" s="15">
        <f t="shared" si="9"/>
        <v>114.72</v>
      </c>
      <c r="BO261" s="6"/>
      <c r="BP261" s="6" t="s">
        <v>24</v>
      </c>
      <c r="BQ261" s="6">
        <v>297</v>
      </c>
      <c r="BR261" s="6" t="s">
        <v>24</v>
      </c>
      <c r="BS261" s="6">
        <v>340</v>
      </c>
      <c r="BT261" s="6" t="s">
        <v>25</v>
      </c>
      <c r="BU261" s="6">
        <v>564</v>
      </c>
      <c r="BV261" s="6" t="s">
        <v>26</v>
      </c>
      <c r="BW261" s="6">
        <v>3138</v>
      </c>
      <c r="BX261" s="6">
        <v>4.42219013052565e-6</v>
      </c>
      <c r="BY261" s="6">
        <v>2.05315337350935e-7</v>
      </c>
      <c r="BZ261" s="6">
        <v>1.78089841747247</v>
      </c>
    </row>
    <row r="262" spans="1:78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18"/>
      <c r="AM262" s="18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18"/>
      <c r="AZ262" s="18"/>
      <c r="BA262" s="6" t="s">
        <v>24</v>
      </c>
      <c r="BB262" s="6">
        <v>297</v>
      </c>
      <c r="BC262" s="6" t="s">
        <v>24</v>
      </c>
      <c r="BD262" s="6">
        <v>340</v>
      </c>
      <c r="BE262" s="6" t="s">
        <v>25</v>
      </c>
      <c r="BF262" s="6">
        <v>484</v>
      </c>
      <c r="BG262" s="6" t="s">
        <v>26</v>
      </c>
      <c r="BH262" s="6">
        <v>2646</v>
      </c>
      <c r="BI262" s="6">
        <v>0.000633206695333423</v>
      </c>
      <c r="BJ262" s="6">
        <v>-0.00167508452159196</v>
      </c>
      <c r="BK262" s="6">
        <v>2.77990040223151</v>
      </c>
      <c r="BL262" s="18"/>
      <c r="BM262" s="4">
        <f t="shared" si="8"/>
        <v>452.88</v>
      </c>
      <c r="BN262" s="15">
        <f t="shared" si="9"/>
        <v>155.88</v>
      </c>
      <c r="BO262" s="6"/>
      <c r="BP262" s="6" t="s">
        <v>24</v>
      </c>
      <c r="BQ262" s="6">
        <v>297</v>
      </c>
      <c r="BR262" s="6" t="s">
        <v>24</v>
      </c>
      <c r="BS262" s="6">
        <v>340</v>
      </c>
      <c r="BT262" s="6" t="s">
        <v>25</v>
      </c>
      <c r="BU262" s="6">
        <v>598</v>
      </c>
      <c r="BV262" s="6" t="s">
        <v>26</v>
      </c>
      <c r="BW262" s="6">
        <v>3330</v>
      </c>
      <c r="BX262" s="6">
        <v>1.4764855852491e-6</v>
      </c>
      <c r="BY262" s="6">
        <v>-8.44142441122063e-7</v>
      </c>
      <c r="BZ262" s="6">
        <v>1.74400336307905</v>
      </c>
    </row>
    <row r="263" spans="1:78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18"/>
      <c r="AZ263" s="18"/>
      <c r="BA263" s="6" t="s">
        <v>24</v>
      </c>
      <c r="BB263" s="6">
        <v>297</v>
      </c>
      <c r="BC263" s="6" t="s">
        <v>24</v>
      </c>
      <c r="BD263" s="6">
        <v>340</v>
      </c>
      <c r="BE263" s="6" t="s">
        <v>25</v>
      </c>
      <c r="BF263" s="6">
        <v>529</v>
      </c>
      <c r="BG263" s="6" t="s">
        <v>26</v>
      </c>
      <c r="BH263" s="6">
        <v>2904</v>
      </c>
      <c r="BI263" s="6">
        <v>8.84630644297142e-7</v>
      </c>
      <c r="BJ263" s="6">
        <v>-5.12109966022325e-6</v>
      </c>
      <c r="BK263" s="6">
        <v>2.01212592718478</v>
      </c>
      <c r="BL263" s="18"/>
      <c r="BM263" s="4">
        <f t="shared" si="8"/>
        <v>496</v>
      </c>
      <c r="BN263" s="15">
        <f t="shared" si="9"/>
        <v>199</v>
      </c>
      <c r="BO263" s="6"/>
      <c r="BP263" s="6" t="s">
        <v>24</v>
      </c>
      <c r="BQ263" s="6">
        <v>297</v>
      </c>
      <c r="BR263" s="6" t="s">
        <v>24</v>
      </c>
      <c r="BS263" s="6">
        <v>340</v>
      </c>
      <c r="BT263" s="6" t="s">
        <v>25</v>
      </c>
      <c r="BU263" s="6">
        <v>668</v>
      </c>
      <c r="BV263" s="6" t="s">
        <v>26</v>
      </c>
      <c r="BW263" s="6">
        <v>3738</v>
      </c>
      <c r="BX263" s="6">
        <v>-5.2738183565891e-7</v>
      </c>
      <c r="BY263" s="6">
        <v>-7.32673013769874e-7</v>
      </c>
      <c r="BZ263" s="6">
        <v>1.45375059976151</v>
      </c>
    </row>
    <row r="264" spans="1:78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18"/>
      <c r="AZ264" s="18"/>
      <c r="BA264" s="6" t="s">
        <v>24</v>
      </c>
      <c r="BB264" s="6">
        <v>297</v>
      </c>
      <c r="BC264" s="6" t="s">
        <v>24</v>
      </c>
      <c r="BD264" s="6">
        <v>340</v>
      </c>
      <c r="BE264" s="6" t="s">
        <v>25</v>
      </c>
      <c r="BF264" s="6">
        <v>576</v>
      </c>
      <c r="BG264" s="6" t="s">
        <v>26</v>
      </c>
      <c r="BH264" s="6">
        <v>3174</v>
      </c>
      <c r="BI264" s="6">
        <v>-1.42182672759535e-6</v>
      </c>
      <c r="BJ264" s="6">
        <v>-3.57059609621876e-6</v>
      </c>
      <c r="BK264" s="6">
        <v>1.85667023697652</v>
      </c>
      <c r="BL264" s="18"/>
      <c r="BM264" s="4">
        <f t="shared" si="8"/>
        <v>541.08</v>
      </c>
      <c r="BN264" s="15">
        <f t="shared" si="9"/>
        <v>244.08</v>
      </c>
      <c r="BO264" s="6"/>
      <c r="BP264" s="6" t="s">
        <v>24</v>
      </c>
      <c r="BQ264" s="6">
        <v>297</v>
      </c>
      <c r="BR264" s="6" t="s">
        <v>24</v>
      </c>
      <c r="BS264" s="6">
        <v>340</v>
      </c>
      <c r="BT264" s="6" t="s">
        <v>25</v>
      </c>
      <c r="BU264" s="6">
        <v>741</v>
      </c>
      <c r="BV264" s="6" t="s">
        <v>26</v>
      </c>
      <c r="BW264" s="6">
        <v>4164</v>
      </c>
      <c r="BX264" s="6">
        <v>-4.40309934868986e-7</v>
      </c>
      <c r="BY264" s="6">
        <v>-5.848170820872e-7</v>
      </c>
      <c r="BZ264" s="6">
        <v>1.39413771837653</v>
      </c>
    </row>
    <row r="265" spans="1:78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18"/>
      <c r="AZ265" s="18"/>
      <c r="BA265" s="6" t="s">
        <v>24</v>
      </c>
      <c r="BB265" s="6">
        <v>297</v>
      </c>
      <c r="BC265" s="6" t="s">
        <v>24</v>
      </c>
      <c r="BD265" s="6">
        <v>340</v>
      </c>
      <c r="BE265" s="6" t="s">
        <v>25</v>
      </c>
      <c r="BF265" s="6">
        <v>625</v>
      </c>
      <c r="BG265" s="6" t="s">
        <v>26</v>
      </c>
      <c r="BH265" s="6">
        <v>3456</v>
      </c>
      <c r="BI265" s="6">
        <v>3.55178126150803e-8</v>
      </c>
      <c r="BJ265" s="6">
        <v>-1.30428289461714e-6</v>
      </c>
      <c r="BK265" s="6">
        <v>1.69535359849987</v>
      </c>
      <c r="BL265" s="18"/>
      <c r="BM265" s="4">
        <f t="shared" si="8"/>
        <v>588.12</v>
      </c>
      <c r="BN265" s="15">
        <f t="shared" si="9"/>
        <v>291.12</v>
      </c>
      <c r="BO265" s="6"/>
      <c r="BP265" s="6" t="s">
        <v>24</v>
      </c>
      <c r="BQ265" s="6">
        <v>297</v>
      </c>
      <c r="BR265" s="6" t="s">
        <v>24</v>
      </c>
      <c r="BS265" s="6">
        <v>340</v>
      </c>
      <c r="BT265" s="6" t="s">
        <v>25</v>
      </c>
      <c r="BU265" s="6">
        <v>797</v>
      </c>
      <c r="BV265" s="6" t="s">
        <v>26</v>
      </c>
      <c r="BW265" s="6">
        <v>4488</v>
      </c>
      <c r="BX265" s="6">
        <v>-3.30816524420565e-7</v>
      </c>
      <c r="BY265" s="6">
        <v>-4.30511040568766e-7</v>
      </c>
      <c r="BZ265" s="6">
        <v>1.3303666969405</v>
      </c>
    </row>
    <row r="266" spans="1:78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18"/>
      <c r="AZ266" s="18"/>
      <c r="BA266" s="6" t="s">
        <v>24</v>
      </c>
      <c r="BB266" s="6">
        <v>297</v>
      </c>
      <c r="BC266" s="6" t="s">
        <v>24</v>
      </c>
      <c r="BD266" s="6">
        <v>340</v>
      </c>
      <c r="BE266" s="6" t="s">
        <v>25</v>
      </c>
      <c r="BF266" s="6">
        <v>676</v>
      </c>
      <c r="BG266" s="6" t="s">
        <v>26</v>
      </c>
      <c r="BH266" s="6">
        <v>3750</v>
      </c>
      <c r="BI266" s="6">
        <v>-9.20851342642765e-7</v>
      </c>
      <c r="BJ266" s="6">
        <v>-1.60392312193829e-6</v>
      </c>
      <c r="BK266" s="6">
        <v>1.65659082921852</v>
      </c>
      <c r="BL266" s="18"/>
      <c r="BM266" s="4">
        <f t="shared" si="8"/>
        <v>637.12</v>
      </c>
      <c r="BN266" s="15">
        <f t="shared" si="9"/>
        <v>340.12</v>
      </c>
      <c r="BO266" s="6"/>
      <c r="BP266" s="6" t="s">
        <v>24</v>
      </c>
      <c r="BQ266" s="6">
        <v>297</v>
      </c>
      <c r="BR266" s="6" t="s">
        <v>24</v>
      </c>
      <c r="BS266" s="6">
        <v>340</v>
      </c>
      <c r="BT266" s="6" t="s">
        <v>25</v>
      </c>
      <c r="BU266" s="6">
        <v>861</v>
      </c>
      <c r="BV266" s="6" t="s">
        <v>26</v>
      </c>
      <c r="BW266" s="6">
        <v>4860</v>
      </c>
      <c r="BX266" s="6">
        <v>-4.35140450922634e-7</v>
      </c>
      <c r="BY266" s="6">
        <v>-4.58409893737243e-7</v>
      </c>
      <c r="BZ266" s="6">
        <v>1.30406233866285</v>
      </c>
    </row>
    <row r="267" spans="1:78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18"/>
      <c r="AZ267" s="18"/>
      <c r="BA267" s="6" t="s">
        <v>24</v>
      </c>
      <c r="BB267" s="6">
        <v>297</v>
      </c>
      <c r="BC267" s="6" t="s">
        <v>24</v>
      </c>
      <c r="BD267" s="6">
        <v>340</v>
      </c>
      <c r="BE267" s="6" t="s">
        <v>25</v>
      </c>
      <c r="BF267" s="6">
        <v>729</v>
      </c>
      <c r="BG267" s="6" t="s">
        <v>26</v>
      </c>
      <c r="BH267" s="6">
        <v>4056</v>
      </c>
      <c r="BI267" s="6">
        <v>1.38579335840048e-7</v>
      </c>
      <c r="BJ267" s="6">
        <v>-5.87275223040835e-7</v>
      </c>
      <c r="BK267" s="6">
        <v>1.54543975416873</v>
      </c>
      <c r="BL267" s="18"/>
      <c r="BM267" s="4">
        <f t="shared" si="8"/>
        <v>688.08</v>
      </c>
      <c r="BN267" s="15">
        <f t="shared" si="9"/>
        <v>391.08</v>
      </c>
      <c r="BO267" s="6"/>
      <c r="BP267" s="6" t="s">
        <v>24</v>
      </c>
      <c r="BQ267" s="6">
        <v>297</v>
      </c>
      <c r="BR267" s="6" t="s">
        <v>24</v>
      </c>
      <c r="BS267" s="6">
        <v>340</v>
      </c>
      <c r="BT267" s="6" t="s">
        <v>25</v>
      </c>
      <c r="BU267" s="6">
        <v>927</v>
      </c>
      <c r="BV267" s="6" t="s">
        <v>26</v>
      </c>
      <c r="BW267" s="6">
        <v>5244</v>
      </c>
      <c r="BX267" s="6">
        <v>-3.17879990579658e-7</v>
      </c>
      <c r="BY267" s="6">
        <v>-3.64884498223562e-7</v>
      </c>
      <c r="BZ267" s="6">
        <v>1.27063018736015</v>
      </c>
    </row>
    <row r="268" spans="1:7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18"/>
      <c r="AZ268" s="18"/>
      <c r="BA268" s="6" t="s">
        <v>24</v>
      </c>
      <c r="BB268" s="6">
        <v>297</v>
      </c>
      <c r="BC268" s="6" t="s">
        <v>24</v>
      </c>
      <c r="BD268" s="6">
        <v>340</v>
      </c>
      <c r="BE268" s="6" t="s">
        <v>25</v>
      </c>
      <c r="BF268" s="6">
        <v>784</v>
      </c>
      <c r="BG268" s="6" t="s">
        <v>26</v>
      </c>
      <c r="BH268" s="6">
        <v>4374</v>
      </c>
      <c r="BI268" s="6">
        <v>-4.21232446932982e-8</v>
      </c>
      <c r="BJ268" s="6">
        <v>-5.84194774505778e-7</v>
      </c>
      <c r="BK268" s="6">
        <v>1.50504667090726</v>
      </c>
      <c r="BL268" s="18"/>
      <c r="BM268" s="4">
        <f t="shared" si="8"/>
        <v>744.855</v>
      </c>
      <c r="BN268" s="15">
        <f t="shared" si="9"/>
        <v>447.855</v>
      </c>
      <c r="BO268" s="6"/>
      <c r="BP268" s="6" t="s">
        <v>24</v>
      </c>
      <c r="BQ268" s="6">
        <v>297</v>
      </c>
      <c r="BR268" s="6" t="s">
        <v>24</v>
      </c>
      <c r="BS268" s="6">
        <v>340</v>
      </c>
      <c r="BT268" s="6" t="s">
        <v>25</v>
      </c>
      <c r="BU268" s="6">
        <v>977</v>
      </c>
      <c r="BV268" s="6" t="s">
        <v>26</v>
      </c>
      <c r="BW268" s="6">
        <v>5532</v>
      </c>
      <c r="BX268" s="6">
        <v>-3.01647214784139e-7</v>
      </c>
      <c r="BY268" s="6">
        <v>-3.33452076700542e-7</v>
      </c>
      <c r="BZ268" s="6">
        <v>1.24511376728889</v>
      </c>
    </row>
    <row r="269" spans="1:78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18"/>
      <c r="AZ269" s="18"/>
      <c r="BA269" s="6" t="s">
        <v>24</v>
      </c>
      <c r="BB269" s="6">
        <v>297</v>
      </c>
      <c r="BC269" s="6" t="s">
        <v>24</v>
      </c>
      <c r="BD269" s="6">
        <v>340</v>
      </c>
      <c r="BE269" s="6" t="s">
        <v>25</v>
      </c>
      <c r="BF269" s="6">
        <v>841</v>
      </c>
      <c r="BG269" s="6" t="s">
        <v>26</v>
      </c>
      <c r="BH269" s="6">
        <v>4704</v>
      </c>
      <c r="BI269" s="6">
        <v>-5.30170381347368e-8</v>
      </c>
      <c r="BJ269" s="6">
        <v>-4.28753144400729e-7</v>
      </c>
      <c r="BK269" s="6">
        <v>1.43230717346103</v>
      </c>
      <c r="BL269" s="18"/>
      <c r="BM269" s="4">
        <f t="shared" si="8"/>
        <v>799.875</v>
      </c>
      <c r="BN269" s="15">
        <f t="shared" si="9"/>
        <v>502.875</v>
      </c>
      <c r="BO269" s="6"/>
      <c r="BP269" s="6" t="s">
        <v>24</v>
      </c>
      <c r="BQ269" s="6">
        <v>297</v>
      </c>
      <c r="BR269" s="6" t="s">
        <v>24</v>
      </c>
      <c r="BS269" s="6">
        <v>340</v>
      </c>
      <c r="BT269" s="6" t="s">
        <v>25</v>
      </c>
      <c r="BU269" s="6">
        <v>1034</v>
      </c>
      <c r="BV269" s="6" t="s">
        <v>26</v>
      </c>
      <c r="BW269" s="6">
        <v>5862</v>
      </c>
      <c r="BX269" s="6">
        <v>-2.8557868130553e-7</v>
      </c>
      <c r="BY269" s="6">
        <v>-3.23394551751056e-7</v>
      </c>
      <c r="BZ269" s="6">
        <v>1.24343096065829</v>
      </c>
    </row>
    <row r="270" spans="1:78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18"/>
      <c r="AZ270" s="18"/>
      <c r="BA270" s="6" t="s">
        <v>24</v>
      </c>
      <c r="BB270" s="6">
        <v>297</v>
      </c>
      <c r="BC270" s="6" t="s">
        <v>24</v>
      </c>
      <c r="BD270" s="6">
        <v>340</v>
      </c>
      <c r="BE270" s="6" t="s">
        <v>25</v>
      </c>
      <c r="BF270" s="6">
        <v>900</v>
      </c>
      <c r="BG270" s="6" t="s">
        <v>26</v>
      </c>
      <c r="BH270" s="6">
        <v>5046</v>
      </c>
      <c r="BI270" s="6">
        <v>-2.43528935873433e-7</v>
      </c>
      <c r="BJ270" s="6">
        <v>-5.01648839553992e-7</v>
      </c>
      <c r="BK270" s="6">
        <v>1.41114517267365</v>
      </c>
      <c r="BL270" s="18"/>
      <c r="BM270" s="4">
        <f t="shared" ref="BM270:BM333" si="10">(FLOOR(((SQRT(1+8*BF270)-3))/2,0.1)*(FLOOR(((SQRT(1+8*BF270)-3))/2,0.1)+1))/2</f>
        <v>856.855</v>
      </c>
      <c r="BN270" s="15">
        <f t="shared" si="9"/>
        <v>559.855</v>
      </c>
      <c r="BO270" s="6"/>
      <c r="BP270" s="6" t="s">
        <v>24</v>
      </c>
      <c r="BQ270" s="6">
        <v>297</v>
      </c>
      <c r="BR270" s="6" t="s">
        <v>24</v>
      </c>
      <c r="BS270" s="6">
        <v>340</v>
      </c>
      <c r="BT270" s="6" t="s">
        <v>25</v>
      </c>
      <c r="BU270" s="6">
        <v>1085</v>
      </c>
      <c r="BV270" s="6" t="s">
        <v>26</v>
      </c>
      <c r="BW270" s="6">
        <v>6156</v>
      </c>
      <c r="BX270" s="6">
        <v>-3.06250609083958e-7</v>
      </c>
      <c r="BY270" s="6">
        <v>-3.38889401888533e-7</v>
      </c>
      <c r="BZ270" s="6">
        <v>1.24713883779489</v>
      </c>
    </row>
    <row r="271" spans="1:78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18"/>
      <c r="AZ271" s="18"/>
      <c r="BA271" s="6" t="s">
        <v>24</v>
      </c>
      <c r="BB271" s="6">
        <v>297</v>
      </c>
      <c r="BC271" s="6" t="s">
        <v>24</v>
      </c>
      <c r="BD271" s="6">
        <v>340</v>
      </c>
      <c r="BE271" s="6" t="s">
        <v>25</v>
      </c>
      <c r="BF271" s="6">
        <v>961</v>
      </c>
      <c r="BG271" s="6" t="s">
        <v>26</v>
      </c>
      <c r="BH271" s="6">
        <v>5400</v>
      </c>
      <c r="BI271" s="6">
        <v>-1.61023641211333e-7</v>
      </c>
      <c r="BJ271" s="6">
        <v>-3.52638158071626e-7</v>
      </c>
      <c r="BK271" s="6">
        <v>1.34126522779887</v>
      </c>
      <c r="BL271" s="18"/>
      <c r="BM271" s="4">
        <f t="shared" si="10"/>
        <v>915.795</v>
      </c>
      <c r="BN271" s="15">
        <f t="shared" si="9"/>
        <v>618.795</v>
      </c>
      <c r="BO271" s="6"/>
      <c r="BP271" s="6" t="s">
        <v>24</v>
      </c>
      <c r="BQ271" s="6">
        <v>297</v>
      </c>
      <c r="BR271" s="6" t="s">
        <v>24</v>
      </c>
      <c r="BS271" s="6">
        <v>340</v>
      </c>
      <c r="BT271" s="6" t="s">
        <v>25</v>
      </c>
      <c r="BU271" s="6">
        <v>1177</v>
      </c>
      <c r="BV271" s="6" t="s">
        <v>26</v>
      </c>
      <c r="BW271" s="6">
        <v>6696</v>
      </c>
      <c r="BX271" s="6">
        <v>-2.3871934171867e-7</v>
      </c>
      <c r="BY271" s="6">
        <v>-2.80160307615932e-7</v>
      </c>
      <c r="BZ271" s="6">
        <v>1.21835812519131</v>
      </c>
    </row>
    <row r="272" spans="1:78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18"/>
      <c r="AZ272" s="18"/>
      <c r="BA272" s="6" t="s">
        <v>24</v>
      </c>
      <c r="BB272" s="6">
        <v>297</v>
      </c>
      <c r="BC272" s="6" t="s">
        <v>24</v>
      </c>
      <c r="BD272" s="6">
        <v>340</v>
      </c>
      <c r="BE272" s="6" t="s">
        <v>25</v>
      </c>
      <c r="BF272" s="6">
        <v>1024</v>
      </c>
      <c r="BG272" s="6" t="s">
        <v>26</v>
      </c>
      <c r="BH272" s="6">
        <v>5766</v>
      </c>
      <c r="BI272" s="6">
        <v>-2.66481198078278e-7</v>
      </c>
      <c r="BJ272" s="6">
        <v>-3.93691369493162e-7</v>
      </c>
      <c r="BK272" s="6">
        <v>1.32513919933928</v>
      </c>
      <c r="BL272" s="18"/>
      <c r="BM272" s="4">
        <f t="shared" si="10"/>
        <v>976.695</v>
      </c>
      <c r="BN272" s="15">
        <f t="shared" si="9"/>
        <v>679.695</v>
      </c>
      <c r="BO272" s="6"/>
      <c r="BP272" s="6" t="s">
        <v>24</v>
      </c>
      <c r="BQ272" s="6">
        <v>297</v>
      </c>
      <c r="BR272" s="6" t="s">
        <v>24</v>
      </c>
      <c r="BS272" s="6">
        <v>340</v>
      </c>
      <c r="BT272" s="6" t="s">
        <v>25</v>
      </c>
      <c r="BU272" s="6">
        <v>1243</v>
      </c>
      <c r="BV272" s="6" t="s">
        <v>26</v>
      </c>
      <c r="BW272" s="6">
        <v>7080</v>
      </c>
      <c r="BX272" s="6">
        <v>-2.82185031608603e-7</v>
      </c>
      <c r="BY272" s="6">
        <v>-3.04341275857774e-7</v>
      </c>
      <c r="BZ272" s="6">
        <v>1.21804066583867</v>
      </c>
    </row>
    <row r="273" spans="1:78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18"/>
      <c r="AZ273" s="18"/>
      <c r="BA273" s="6" t="s">
        <v>24</v>
      </c>
      <c r="BB273" s="6">
        <v>297</v>
      </c>
      <c r="BC273" s="6" t="s">
        <v>24</v>
      </c>
      <c r="BD273" s="6">
        <v>340</v>
      </c>
      <c r="BE273" s="6" t="s">
        <v>25</v>
      </c>
      <c r="BF273" s="6">
        <v>1089</v>
      </c>
      <c r="BG273" s="6" t="s">
        <v>26</v>
      </c>
      <c r="BH273" s="6">
        <v>6144</v>
      </c>
      <c r="BI273" s="6">
        <v>-2.31205425662843e-7</v>
      </c>
      <c r="BJ273" s="6">
        <v>-3.21825291964732e-7</v>
      </c>
      <c r="BK273" s="6">
        <v>1.27420010655301</v>
      </c>
      <c r="BL273" s="18"/>
      <c r="BM273" s="4">
        <f t="shared" si="10"/>
        <v>1039.555</v>
      </c>
      <c r="BN273" s="15">
        <f t="shared" si="9"/>
        <v>742.555</v>
      </c>
      <c r="BO273" s="6"/>
      <c r="BP273" s="6" t="s">
        <v>24</v>
      </c>
      <c r="BQ273" s="6">
        <v>297</v>
      </c>
      <c r="BR273" s="6" t="s">
        <v>24</v>
      </c>
      <c r="BS273" s="6">
        <v>340</v>
      </c>
      <c r="BT273" s="6" t="s">
        <v>25</v>
      </c>
      <c r="BU273" s="6">
        <v>1325</v>
      </c>
      <c r="BV273" s="6" t="s">
        <v>26</v>
      </c>
      <c r="BW273" s="6">
        <v>7560</v>
      </c>
      <c r="BX273" s="6">
        <v>-2.5344081111084e-7</v>
      </c>
      <c r="BY273" s="6">
        <v>-2.7915571868611e-7</v>
      </c>
      <c r="BZ273" s="6">
        <v>1.20538919863983</v>
      </c>
    </row>
    <row r="274" spans="1:78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18"/>
      <c r="AZ274" s="18"/>
      <c r="BA274" s="10" t="s">
        <v>36</v>
      </c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8"/>
      <c r="BM274" s="4"/>
      <c r="BN274" s="15"/>
      <c r="BO274" s="6"/>
      <c r="BP274" s="10" t="s">
        <v>36</v>
      </c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</row>
    <row r="275" ht="23.25" spans="1:78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18"/>
      <c r="AZ275" s="18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8"/>
      <c r="BM275" s="4"/>
      <c r="BN275" s="15"/>
      <c r="BO275" s="3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</row>
    <row r="276" ht="23.25" spans="1:78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18"/>
      <c r="AZ276" s="18"/>
      <c r="BA276" s="6" t="s">
        <v>12</v>
      </c>
      <c r="BB276" s="6" t="s">
        <v>13</v>
      </c>
      <c r="BC276" s="6" t="s">
        <v>14</v>
      </c>
      <c r="BD276" s="6" t="s">
        <v>15</v>
      </c>
      <c r="BE276" s="6" t="s">
        <v>16</v>
      </c>
      <c r="BF276" s="6" t="s">
        <v>17</v>
      </c>
      <c r="BG276" s="6" t="s">
        <v>18</v>
      </c>
      <c r="BH276" s="6" t="s">
        <v>19</v>
      </c>
      <c r="BI276" s="6" t="s">
        <v>20</v>
      </c>
      <c r="BJ276" s="6" t="s">
        <v>21</v>
      </c>
      <c r="BK276" s="6" t="s">
        <v>22</v>
      </c>
      <c r="BL276" s="18"/>
      <c r="BM276" s="4"/>
      <c r="BN276" s="15"/>
      <c r="BO276" s="3"/>
      <c r="BP276" s="6" t="s">
        <v>12</v>
      </c>
      <c r="BQ276" s="6" t="s">
        <v>13</v>
      </c>
      <c r="BR276" s="6" t="s">
        <v>14</v>
      </c>
      <c r="BS276" s="6" t="s">
        <v>15</v>
      </c>
      <c r="BT276" s="6" t="s">
        <v>16</v>
      </c>
      <c r="BU276" s="6" t="s">
        <v>17</v>
      </c>
      <c r="BV276" s="6" t="s">
        <v>18</v>
      </c>
      <c r="BW276" s="6" t="s">
        <v>19</v>
      </c>
      <c r="BX276" s="6" t="s">
        <v>20</v>
      </c>
      <c r="BY276" s="6" t="s">
        <v>21</v>
      </c>
      <c r="BZ276" s="6" t="s">
        <v>22</v>
      </c>
    </row>
    <row r="277" spans="1:78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18"/>
      <c r="AZ277" s="18"/>
      <c r="BA277" s="6" t="s">
        <v>24</v>
      </c>
      <c r="BB277" s="6">
        <v>340</v>
      </c>
      <c r="BC277" s="6" t="s">
        <v>24</v>
      </c>
      <c r="BD277" s="6">
        <v>340</v>
      </c>
      <c r="BE277" s="6" t="s">
        <v>25</v>
      </c>
      <c r="BF277" s="6">
        <v>289</v>
      </c>
      <c r="BG277" s="6" t="s">
        <v>26</v>
      </c>
      <c r="BH277" s="6">
        <v>1536</v>
      </c>
      <c r="BI277" s="6">
        <v>-2.01202909863305</v>
      </c>
      <c r="BJ277" s="6">
        <v>-1.89181869592194</v>
      </c>
      <c r="BK277" s="6">
        <v>-0.742016066792706</v>
      </c>
      <c r="BL277" s="18"/>
      <c r="BM277" s="4">
        <f t="shared" si="10"/>
        <v>264.375</v>
      </c>
      <c r="BN277" s="15">
        <f t="shared" si="9"/>
        <v>75.625</v>
      </c>
      <c r="BO277" s="4"/>
      <c r="BP277" s="6" t="s">
        <v>24</v>
      </c>
      <c r="BQ277" s="6">
        <v>340</v>
      </c>
      <c r="BR277" s="6" t="s">
        <v>24</v>
      </c>
      <c r="BS277" s="6">
        <v>340</v>
      </c>
      <c r="BT277" s="6" t="s">
        <v>25</v>
      </c>
      <c r="BU277" s="6">
        <v>340</v>
      </c>
      <c r="BV277" s="6" t="s">
        <v>26</v>
      </c>
      <c r="BW277" s="6">
        <v>1842</v>
      </c>
      <c r="BX277" s="6">
        <v>-2.27418351562998</v>
      </c>
      <c r="BY277" s="6">
        <v>-1.95679764889065</v>
      </c>
      <c r="BZ277" s="6">
        <v>-0.759943479296063</v>
      </c>
    </row>
    <row r="278" spans="1: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18"/>
      <c r="AZ278" s="18"/>
      <c r="BA278" s="6" t="s">
        <v>24</v>
      </c>
      <c r="BB278" s="6">
        <v>340</v>
      </c>
      <c r="BC278" s="6" t="s">
        <v>24</v>
      </c>
      <c r="BD278" s="6">
        <v>340</v>
      </c>
      <c r="BE278" s="6" t="s">
        <v>25</v>
      </c>
      <c r="BF278" s="6">
        <v>324</v>
      </c>
      <c r="BG278" s="6" t="s">
        <v>26</v>
      </c>
      <c r="BH278" s="6">
        <v>1734</v>
      </c>
      <c r="BI278" s="6">
        <v>-1.90055639405578</v>
      </c>
      <c r="BJ278" s="6">
        <v>-1.55502401116296</v>
      </c>
      <c r="BK278" s="6">
        <v>0.0906878717460082</v>
      </c>
      <c r="BL278" s="18"/>
      <c r="BM278" s="4">
        <f t="shared" si="10"/>
        <v>297.555</v>
      </c>
      <c r="BN278" s="15">
        <f t="shared" si="9"/>
        <v>42.4449999999999</v>
      </c>
      <c r="BO278" s="6"/>
      <c r="BP278" s="6" t="s">
        <v>24</v>
      </c>
      <c r="BQ278" s="6">
        <v>340</v>
      </c>
      <c r="BR278" s="6" t="s">
        <v>24</v>
      </c>
      <c r="BS278" s="6">
        <v>340</v>
      </c>
      <c r="BT278" s="6" t="s">
        <v>25</v>
      </c>
      <c r="BU278" s="6">
        <v>380</v>
      </c>
      <c r="BV278" s="6" t="s">
        <v>26</v>
      </c>
      <c r="BW278" s="6">
        <v>2070</v>
      </c>
      <c r="BX278" s="6">
        <v>-1.41798726690542</v>
      </c>
      <c r="BY278" s="6">
        <v>-1.25061180783329</v>
      </c>
      <c r="BZ278" s="6">
        <v>0.641822066005755</v>
      </c>
    </row>
    <row r="279" spans="1:78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18"/>
      <c r="AZ279" s="18"/>
      <c r="BA279" s="11" t="s">
        <v>24</v>
      </c>
      <c r="BB279" s="11">
        <v>340</v>
      </c>
      <c r="BC279" s="11" t="s">
        <v>24</v>
      </c>
      <c r="BD279" s="11">
        <v>340</v>
      </c>
      <c r="BE279" s="11" t="s">
        <v>25</v>
      </c>
      <c r="BF279" s="11">
        <v>361</v>
      </c>
      <c r="BG279" s="11" t="s">
        <v>26</v>
      </c>
      <c r="BH279" s="11">
        <v>1944</v>
      </c>
      <c r="BI279" s="11">
        <v>-1.3959937485263</v>
      </c>
      <c r="BJ279" s="11">
        <v>-1.20314326686795</v>
      </c>
      <c r="BK279" s="11">
        <v>0.634034337080445</v>
      </c>
      <c r="BL279" s="20"/>
      <c r="BM279" s="12">
        <f t="shared" si="10"/>
        <v>332.695</v>
      </c>
      <c r="BN279" s="15">
        <f t="shared" si="9"/>
        <v>7.30500000000001</v>
      </c>
      <c r="BO279" s="6"/>
      <c r="BP279" s="6" t="s">
        <v>24</v>
      </c>
      <c r="BQ279" s="6">
        <v>340</v>
      </c>
      <c r="BR279" s="6" t="s">
        <v>24</v>
      </c>
      <c r="BS279" s="6">
        <v>340</v>
      </c>
      <c r="BT279" s="6" t="s">
        <v>25</v>
      </c>
      <c r="BU279" s="6">
        <v>435</v>
      </c>
      <c r="BV279" s="6" t="s">
        <v>26</v>
      </c>
      <c r="BW279" s="6">
        <v>2388</v>
      </c>
      <c r="BX279" s="6">
        <v>-0.617553483269529</v>
      </c>
      <c r="BY279" s="6">
        <v>-0.541444523923955</v>
      </c>
      <c r="BZ279" s="6">
        <v>1.82409060860824</v>
      </c>
    </row>
    <row r="280" spans="1:78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8"/>
      <c r="AZ280" s="18"/>
      <c r="BA280" s="6" t="s">
        <v>24</v>
      </c>
      <c r="BB280" s="6">
        <v>340</v>
      </c>
      <c r="BC280" s="6" t="s">
        <v>24</v>
      </c>
      <c r="BD280" s="6">
        <v>340</v>
      </c>
      <c r="BE280" s="6" t="s">
        <v>25</v>
      </c>
      <c r="BF280" s="6">
        <v>400</v>
      </c>
      <c r="BG280" s="6" t="s">
        <v>26</v>
      </c>
      <c r="BH280" s="6">
        <v>2166</v>
      </c>
      <c r="BI280" s="6">
        <v>-0.858183014366954</v>
      </c>
      <c r="BJ280" s="6">
        <v>-0.776005583566746</v>
      </c>
      <c r="BK280" s="6">
        <v>1.21872182142988</v>
      </c>
      <c r="BL280" s="18"/>
      <c r="BM280" s="4">
        <f t="shared" si="10"/>
        <v>369.795</v>
      </c>
      <c r="BN280" s="15">
        <f t="shared" si="9"/>
        <v>29.7950000000001</v>
      </c>
      <c r="BO280" s="6"/>
      <c r="BP280" s="6" t="s">
        <v>24</v>
      </c>
      <c r="BQ280" s="6">
        <v>340</v>
      </c>
      <c r="BR280" s="6" t="s">
        <v>24</v>
      </c>
      <c r="BS280" s="6">
        <v>340</v>
      </c>
      <c r="BT280" s="6" t="s">
        <v>25</v>
      </c>
      <c r="BU280" s="6">
        <v>485</v>
      </c>
      <c r="BV280" s="6" t="s">
        <v>26</v>
      </c>
      <c r="BW280" s="6">
        <v>2676</v>
      </c>
      <c r="BX280" s="6">
        <v>-0.052383290565041</v>
      </c>
      <c r="BY280" s="6">
        <v>-0.0527522320423444</v>
      </c>
      <c r="BZ280" s="6">
        <v>2.67177141615025</v>
      </c>
    </row>
    <row r="281" spans="1:78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8"/>
      <c r="AZ281" s="18"/>
      <c r="BA281" s="6" t="s">
        <v>24</v>
      </c>
      <c r="BB281" s="6">
        <v>340</v>
      </c>
      <c r="BC281" s="6" t="s">
        <v>24</v>
      </c>
      <c r="BD281" s="6">
        <v>340</v>
      </c>
      <c r="BE281" s="6" t="s">
        <v>25</v>
      </c>
      <c r="BF281" s="6">
        <v>441</v>
      </c>
      <c r="BG281" s="6" t="s">
        <v>26</v>
      </c>
      <c r="BH281" s="6">
        <v>2400</v>
      </c>
      <c r="BI281" s="6">
        <v>-0.416748728933142</v>
      </c>
      <c r="BJ281" s="6">
        <v>-0.347506994555852</v>
      </c>
      <c r="BK281" s="6">
        <v>1.88308520817828</v>
      </c>
      <c r="BL281" s="18"/>
      <c r="BM281" s="4">
        <f t="shared" si="10"/>
        <v>411.72</v>
      </c>
      <c r="BN281" s="15">
        <f t="shared" si="9"/>
        <v>71.7200000000001</v>
      </c>
      <c r="BO281" s="6"/>
      <c r="BP281" s="6" t="s">
        <v>24</v>
      </c>
      <c r="BQ281" s="6">
        <v>340</v>
      </c>
      <c r="BR281" s="6" t="s">
        <v>24</v>
      </c>
      <c r="BS281" s="6">
        <v>340</v>
      </c>
      <c r="BT281" s="6" t="s">
        <v>25</v>
      </c>
      <c r="BU281" s="6">
        <v>564</v>
      </c>
      <c r="BV281" s="6" t="s">
        <v>26</v>
      </c>
      <c r="BW281" s="6">
        <v>3138</v>
      </c>
      <c r="BX281" s="6">
        <v>1.86634222263607e-6</v>
      </c>
      <c r="BY281" s="6">
        <v>-3.25038397013513e-6</v>
      </c>
      <c r="BZ281" s="6">
        <v>1.94260289846436</v>
      </c>
    </row>
    <row r="282" spans="1:78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6" t="s">
        <v>24</v>
      </c>
      <c r="BB282" s="6">
        <v>340</v>
      </c>
      <c r="BC282" s="6" t="s">
        <v>24</v>
      </c>
      <c r="BD282" s="6">
        <v>340</v>
      </c>
      <c r="BE282" s="6" t="s">
        <v>25</v>
      </c>
      <c r="BF282" s="6">
        <v>484</v>
      </c>
      <c r="BG282" s="6" t="s">
        <v>26</v>
      </c>
      <c r="BH282" s="6">
        <v>2646</v>
      </c>
      <c r="BI282" s="6">
        <v>-0.0533024294513684</v>
      </c>
      <c r="BJ282" s="6">
        <v>-0.0457179026303987</v>
      </c>
      <c r="BK282" s="6">
        <v>2.51536433561943</v>
      </c>
      <c r="BL282" s="18"/>
      <c r="BM282" s="4">
        <f t="shared" si="10"/>
        <v>452.88</v>
      </c>
      <c r="BN282" s="15">
        <f t="shared" si="9"/>
        <v>112.88</v>
      </c>
      <c r="BO282" s="6"/>
      <c r="BP282" s="6" t="s">
        <v>24</v>
      </c>
      <c r="BQ282" s="6">
        <v>340</v>
      </c>
      <c r="BR282" s="6" t="s">
        <v>24</v>
      </c>
      <c r="BS282" s="6">
        <v>340</v>
      </c>
      <c r="BT282" s="6" t="s">
        <v>25</v>
      </c>
      <c r="BU282" s="6">
        <v>598</v>
      </c>
      <c r="BV282" s="6" t="s">
        <v>26</v>
      </c>
      <c r="BW282" s="6">
        <v>3330</v>
      </c>
      <c r="BX282" s="6">
        <v>7.40864737664537e-7</v>
      </c>
      <c r="BY282" s="6">
        <v>-1.97930310842372e-6</v>
      </c>
      <c r="BZ282" s="6">
        <v>1.81521009084949</v>
      </c>
    </row>
    <row r="283" spans="1:78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18"/>
      <c r="AZ283" s="18"/>
      <c r="BA283" s="6" t="s">
        <v>24</v>
      </c>
      <c r="BB283" s="6">
        <v>340</v>
      </c>
      <c r="BC283" s="6" t="s">
        <v>24</v>
      </c>
      <c r="BD283" s="6">
        <v>340</v>
      </c>
      <c r="BE283" s="6" t="s">
        <v>25</v>
      </c>
      <c r="BF283" s="6">
        <v>529</v>
      </c>
      <c r="BG283" s="6" t="s">
        <v>26</v>
      </c>
      <c r="BH283" s="6">
        <v>2904</v>
      </c>
      <c r="BI283" s="6">
        <v>-2.7012253113577e-6</v>
      </c>
      <c r="BJ283" s="6">
        <v>-2.11206914369943e-5</v>
      </c>
      <c r="BK283" s="6">
        <v>2.27738775885635</v>
      </c>
      <c r="BL283" s="18"/>
      <c r="BM283" s="4">
        <f t="shared" si="10"/>
        <v>496</v>
      </c>
      <c r="BN283" s="15">
        <f t="shared" si="9"/>
        <v>156</v>
      </c>
      <c r="BO283" s="6"/>
      <c r="BP283" s="6" t="s">
        <v>24</v>
      </c>
      <c r="BQ283" s="6">
        <v>340</v>
      </c>
      <c r="BR283" s="6" t="s">
        <v>24</v>
      </c>
      <c r="BS283" s="6">
        <v>340</v>
      </c>
      <c r="BT283" s="6" t="s">
        <v>25</v>
      </c>
      <c r="BU283" s="6">
        <v>668</v>
      </c>
      <c r="BV283" s="6" t="s">
        <v>26</v>
      </c>
      <c r="BW283" s="6">
        <v>3738</v>
      </c>
      <c r="BX283" s="6">
        <v>-9.22105312719371e-7</v>
      </c>
      <c r="BY283" s="6">
        <v>-1.37475051308012e-6</v>
      </c>
      <c r="BZ283" s="6">
        <v>1.58756724763508</v>
      </c>
    </row>
    <row r="284" spans="1:78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18"/>
      <c r="AZ284" s="18"/>
      <c r="BA284" s="6" t="s">
        <v>24</v>
      </c>
      <c r="BB284" s="6">
        <v>340</v>
      </c>
      <c r="BC284" s="6" t="s">
        <v>24</v>
      </c>
      <c r="BD284" s="6">
        <v>340</v>
      </c>
      <c r="BE284" s="6" t="s">
        <v>25</v>
      </c>
      <c r="BF284" s="6">
        <v>576</v>
      </c>
      <c r="BG284" s="6" t="s">
        <v>26</v>
      </c>
      <c r="BH284" s="6">
        <v>3174</v>
      </c>
      <c r="BI284" s="6">
        <v>-2.97046254827646e-6</v>
      </c>
      <c r="BJ284" s="6">
        <v>-6.50485220757624e-6</v>
      </c>
      <c r="BK284" s="6">
        <v>1.98141355163363</v>
      </c>
      <c r="BL284" s="18"/>
      <c r="BM284" s="4">
        <f t="shared" si="10"/>
        <v>541.08</v>
      </c>
      <c r="BN284" s="15">
        <f t="shared" si="9"/>
        <v>201.08</v>
      </c>
      <c r="BO284" s="6"/>
      <c r="BP284" s="6" t="s">
        <v>24</v>
      </c>
      <c r="BQ284" s="6">
        <v>340</v>
      </c>
      <c r="BR284" s="6" t="s">
        <v>24</v>
      </c>
      <c r="BS284" s="6">
        <v>340</v>
      </c>
      <c r="BT284" s="6" t="s">
        <v>25</v>
      </c>
      <c r="BU284" s="6">
        <v>741</v>
      </c>
      <c r="BV284" s="6" t="s">
        <v>26</v>
      </c>
      <c r="BW284" s="6">
        <v>4164</v>
      </c>
      <c r="BX284" s="6">
        <v>-7.14277803138337e-7</v>
      </c>
      <c r="BY284" s="6">
        <v>-7.79422009234134e-7</v>
      </c>
      <c r="BZ284" s="6">
        <v>1.41483037740124</v>
      </c>
    </row>
    <row r="285" spans="1:78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18"/>
      <c r="AZ285" s="18"/>
      <c r="BA285" s="6" t="s">
        <v>24</v>
      </c>
      <c r="BB285" s="6">
        <v>340</v>
      </c>
      <c r="BC285" s="6" t="s">
        <v>24</v>
      </c>
      <c r="BD285" s="6">
        <v>340</v>
      </c>
      <c r="BE285" s="6" t="s">
        <v>25</v>
      </c>
      <c r="BF285" s="6">
        <v>625</v>
      </c>
      <c r="BG285" s="6" t="s">
        <v>26</v>
      </c>
      <c r="BH285" s="6">
        <v>3456</v>
      </c>
      <c r="BI285" s="6">
        <v>-2.1111830486413e-6</v>
      </c>
      <c r="BJ285" s="6">
        <v>-3.41316791284811e-6</v>
      </c>
      <c r="BK285" s="6">
        <v>1.81813396929145</v>
      </c>
      <c r="BL285" s="18"/>
      <c r="BM285" s="4">
        <f t="shared" si="10"/>
        <v>588.12</v>
      </c>
      <c r="BN285" s="15">
        <f t="shared" si="9"/>
        <v>248.12</v>
      </c>
      <c r="BO285" s="6"/>
      <c r="BP285" s="6" t="s">
        <v>24</v>
      </c>
      <c r="BQ285" s="6">
        <v>340</v>
      </c>
      <c r="BR285" s="6" t="s">
        <v>24</v>
      </c>
      <c r="BS285" s="6">
        <v>340</v>
      </c>
      <c r="BT285" s="6" t="s">
        <v>25</v>
      </c>
      <c r="BU285" s="6">
        <v>797</v>
      </c>
      <c r="BV285" s="6" t="s">
        <v>26</v>
      </c>
      <c r="BW285" s="6">
        <v>4488</v>
      </c>
      <c r="BX285" s="6">
        <v>-7.67801598298518e-7</v>
      </c>
      <c r="BY285" s="6">
        <v>-7.89797716443378e-7</v>
      </c>
      <c r="BZ285" s="6">
        <v>1.40566412412658</v>
      </c>
    </row>
    <row r="286" spans="1:78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18"/>
      <c r="AZ286" s="18"/>
      <c r="BA286" s="6" t="s">
        <v>24</v>
      </c>
      <c r="BB286" s="6">
        <v>340</v>
      </c>
      <c r="BC286" s="6" t="s">
        <v>24</v>
      </c>
      <c r="BD286" s="6">
        <v>340</v>
      </c>
      <c r="BE286" s="6" t="s">
        <v>25</v>
      </c>
      <c r="BF286" s="6">
        <v>676</v>
      </c>
      <c r="BG286" s="6" t="s">
        <v>26</v>
      </c>
      <c r="BH286" s="6">
        <v>3750</v>
      </c>
      <c r="BI286" s="6">
        <v>-2.55021589612067e-6</v>
      </c>
      <c r="BJ286" s="6">
        <v>-3.04334567806039e-6</v>
      </c>
      <c r="BK286" s="6">
        <v>1.74870759787118</v>
      </c>
      <c r="BL286" s="18"/>
      <c r="BM286" s="4">
        <f t="shared" si="10"/>
        <v>637.12</v>
      </c>
      <c r="BN286" s="15">
        <f t="shared" si="9"/>
        <v>297.12</v>
      </c>
      <c r="BO286" s="6"/>
      <c r="BP286" s="6" t="s">
        <v>24</v>
      </c>
      <c r="BQ286" s="6">
        <v>340</v>
      </c>
      <c r="BR286" s="6" t="s">
        <v>24</v>
      </c>
      <c r="BS286" s="6">
        <v>340</v>
      </c>
      <c r="BT286" s="6" t="s">
        <v>25</v>
      </c>
      <c r="BU286" s="6">
        <v>861</v>
      </c>
      <c r="BV286" s="6" t="s">
        <v>26</v>
      </c>
      <c r="BW286" s="6">
        <v>4860</v>
      </c>
      <c r="BX286" s="6">
        <v>-6.12856092282089e-7</v>
      </c>
      <c r="BY286" s="6">
        <v>-6.23857808245372e-7</v>
      </c>
      <c r="BZ286" s="6">
        <v>1.35001171523249</v>
      </c>
    </row>
    <row r="287" spans="1:78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18"/>
      <c r="AZ287" s="18"/>
      <c r="BA287" s="6" t="s">
        <v>24</v>
      </c>
      <c r="BB287" s="6">
        <v>340</v>
      </c>
      <c r="BC287" s="6" t="s">
        <v>24</v>
      </c>
      <c r="BD287" s="6">
        <v>340</v>
      </c>
      <c r="BE287" s="6" t="s">
        <v>25</v>
      </c>
      <c r="BF287" s="6">
        <v>729</v>
      </c>
      <c r="BG287" s="6" t="s">
        <v>26</v>
      </c>
      <c r="BH287" s="6">
        <v>4056</v>
      </c>
      <c r="BI287" s="6">
        <v>-6.75654595184133e-7</v>
      </c>
      <c r="BJ287" s="6">
        <v>-1.24252393674485e-6</v>
      </c>
      <c r="BK287" s="6">
        <v>1.61276694056202</v>
      </c>
      <c r="BL287" s="18"/>
      <c r="BM287" s="4">
        <f t="shared" si="10"/>
        <v>688.08</v>
      </c>
      <c r="BN287" s="15">
        <f t="shared" si="9"/>
        <v>348.08</v>
      </c>
      <c r="BO287" s="6"/>
      <c r="BP287" s="6" t="s">
        <v>24</v>
      </c>
      <c r="BQ287" s="6">
        <v>340</v>
      </c>
      <c r="BR287" s="6" t="s">
        <v>24</v>
      </c>
      <c r="BS287" s="6">
        <v>340</v>
      </c>
      <c r="BT287" s="6" t="s">
        <v>25</v>
      </c>
      <c r="BU287" s="6">
        <v>927</v>
      </c>
      <c r="BV287" s="6" t="s">
        <v>26</v>
      </c>
      <c r="BW287" s="6">
        <v>5244</v>
      </c>
      <c r="BX287" s="6">
        <v>-5.13162774209367e-7</v>
      </c>
      <c r="BY287" s="6">
        <v>-5.3783222029235e-7</v>
      </c>
      <c r="BZ287" s="6">
        <v>1.32645552784614</v>
      </c>
    </row>
    <row r="288" spans="1:7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18"/>
      <c r="AZ288" s="18"/>
      <c r="BA288" s="6" t="s">
        <v>24</v>
      </c>
      <c r="BB288" s="6">
        <v>340</v>
      </c>
      <c r="BC288" s="6" t="s">
        <v>24</v>
      </c>
      <c r="BD288" s="6">
        <v>340</v>
      </c>
      <c r="BE288" s="6" t="s">
        <v>25</v>
      </c>
      <c r="BF288" s="6">
        <v>784</v>
      </c>
      <c r="BG288" s="6" t="s">
        <v>26</v>
      </c>
      <c r="BH288" s="6">
        <v>4374</v>
      </c>
      <c r="BI288" s="6">
        <v>-1.42706665327079e-6</v>
      </c>
      <c r="BJ288" s="6">
        <v>-1.65116340954655e-6</v>
      </c>
      <c r="BK288" s="6">
        <v>1.60881803697317</v>
      </c>
      <c r="BL288" s="18"/>
      <c r="BM288" s="4">
        <f t="shared" si="10"/>
        <v>744.855</v>
      </c>
      <c r="BN288" s="15">
        <f t="shared" si="9"/>
        <v>404.855</v>
      </c>
      <c r="BO288" s="6"/>
      <c r="BP288" s="6" t="s">
        <v>24</v>
      </c>
      <c r="BQ288" s="6">
        <v>340</v>
      </c>
      <c r="BR288" s="6" t="s">
        <v>24</v>
      </c>
      <c r="BS288" s="6">
        <v>340</v>
      </c>
      <c r="BT288" s="6" t="s">
        <v>25</v>
      </c>
      <c r="BU288" s="6">
        <v>977</v>
      </c>
      <c r="BV288" s="6" t="s">
        <v>26</v>
      </c>
      <c r="BW288" s="6">
        <v>5532</v>
      </c>
      <c r="BX288" s="6">
        <v>-5.82009382290562e-7</v>
      </c>
      <c r="BY288" s="6">
        <v>-5.54054375361698e-7</v>
      </c>
      <c r="BZ288" s="6">
        <v>1.30739375967433</v>
      </c>
    </row>
    <row r="289" spans="1:78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18"/>
      <c r="AZ289" s="18"/>
      <c r="BA289" s="6" t="s">
        <v>24</v>
      </c>
      <c r="BB289" s="6">
        <v>340</v>
      </c>
      <c r="BC289" s="6" t="s">
        <v>24</v>
      </c>
      <c r="BD289" s="6">
        <v>340</v>
      </c>
      <c r="BE289" s="6" t="s">
        <v>25</v>
      </c>
      <c r="BF289" s="6">
        <v>841</v>
      </c>
      <c r="BG289" s="6" t="s">
        <v>26</v>
      </c>
      <c r="BH289" s="6">
        <v>4704</v>
      </c>
      <c r="BI289" s="6">
        <v>-3.39667555793324e-7</v>
      </c>
      <c r="BJ289" s="6">
        <v>-7.1891472984586e-7</v>
      </c>
      <c r="BK289" s="6">
        <v>1.50190085766028</v>
      </c>
      <c r="BL289" s="18"/>
      <c r="BM289" s="4">
        <f t="shared" si="10"/>
        <v>799.875</v>
      </c>
      <c r="BN289" s="15">
        <f t="shared" si="9"/>
        <v>459.875</v>
      </c>
      <c r="BO289" s="6"/>
      <c r="BP289" s="6" t="s">
        <v>24</v>
      </c>
      <c r="BQ289" s="6">
        <v>340</v>
      </c>
      <c r="BR289" s="6" t="s">
        <v>24</v>
      </c>
      <c r="BS289" s="6">
        <v>340</v>
      </c>
      <c r="BT289" s="6" t="s">
        <v>25</v>
      </c>
      <c r="BU289" s="6">
        <v>1034</v>
      </c>
      <c r="BV289" s="6" t="s">
        <v>26</v>
      </c>
      <c r="BW289" s="6">
        <v>5862</v>
      </c>
      <c r="BX289" s="6">
        <v>-5.12051318134016e-7</v>
      </c>
      <c r="BY289" s="6">
        <v>-4.84782427654999e-7</v>
      </c>
      <c r="BZ289" s="6">
        <v>1.2792749161557</v>
      </c>
    </row>
    <row r="290" spans="1:78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18"/>
      <c r="AZ290" s="18"/>
      <c r="BA290" s="6" t="s">
        <v>24</v>
      </c>
      <c r="BB290" s="6">
        <v>340</v>
      </c>
      <c r="BC290" s="6" t="s">
        <v>24</v>
      </c>
      <c r="BD290" s="6">
        <v>340</v>
      </c>
      <c r="BE290" s="6" t="s">
        <v>25</v>
      </c>
      <c r="BF290" s="6">
        <v>900</v>
      </c>
      <c r="BG290" s="6" t="s">
        <v>26</v>
      </c>
      <c r="BH290" s="6">
        <v>5046</v>
      </c>
      <c r="BI290" s="6">
        <v>-5.27508954231397e-7</v>
      </c>
      <c r="BJ290" s="6">
        <v>-7.72665393612643e-7</v>
      </c>
      <c r="BK290" s="6">
        <v>1.47535149537957</v>
      </c>
      <c r="BL290" s="18"/>
      <c r="BM290" s="4">
        <f t="shared" si="10"/>
        <v>856.855</v>
      </c>
      <c r="BN290" s="15">
        <f t="shared" si="9"/>
        <v>516.855</v>
      </c>
      <c r="BO290" s="6"/>
      <c r="BP290" s="6" t="s">
        <v>24</v>
      </c>
      <c r="BQ290" s="6">
        <v>340</v>
      </c>
      <c r="BR290" s="6" t="s">
        <v>24</v>
      </c>
      <c r="BS290" s="6">
        <v>340</v>
      </c>
      <c r="BT290" s="6" t="s">
        <v>25</v>
      </c>
      <c r="BU290" s="6">
        <v>1085</v>
      </c>
      <c r="BV290" s="6" t="s">
        <v>26</v>
      </c>
      <c r="BW290" s="6">
        <v>6156</v>
      </c>
      <c r="BX290" s="6">
        <v>-5.32521033792265e-7</v>
      </c>
      <c r="BY290" s="6">
        <v>-5.02486449718446e-7</v>
      </c>
      <c r="BZ290" s="6">
        <v>1.28537770743499</v>
      </c>
    </row>
    <row r="291" spans="1:78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18"/>
      <c r="AZ291" s="18"/>
      <c r="BA291" s="6" t="s">
        <v>24</v>
      </c>
      <c r="BB291" s="6">
        <v>340</v>
      </c>
      <c r="BC291" s="6" t="s">
        <v>24</v>
      </c>
      <c r="BD291" s="6">
        <v>340</v>
      </c>
      <c r="BE291" s="6" t="s">
        <v>25</v>
      </c>
      <c r="BF291" s="6">
        <v>961</v>
      </c>
      <c r="BG291" s="6" t="s">
        <v>26</v>
      </c>
      <c r="BH291" s="6">
        <v>5400</v>
      </c>
      <c r="BI291" s="6">
        <v>-4.7114397195722e-7</v>
      </c>
      <c r="BJ291" s="6">
        <v>-6.42662391466565e-7</v>
      </c>
      <c r="BK291" s="6">
        <v>1.41860223022688</v>
      </c>
      <c r="BL291" s="18"/>
      <c r="BM291" s="4">
        <f t="shared" si="10"/>
        <v>915.795</v>
      </c>
      <c r="BN291" s="15">
        <f t="shared" si="9"/>
        <v>575.795</v>
      </c>
      <c r="BO291" s="6"/>
      <c r="BP291" s="6" t="s">
        <v>24</v>
      </c>
      <c r="BQ291" s="6">
        <v>340</v>
      </c>
      <c r="BR291" s="6" t="s">
        <v>24</v>
      </c>
      <c r="BS291" s="6">
        <v>340</v>
      </c>
      <c r="BT291" s="6" t="s">
        <v>25</v>
      </c>
      <c r="BU291" s="6">
        <v>1177</v>
      </c>
      <c r="BV291" s="6" t="s">
        <v>26</v>
      </c>
      <c r="BW291" s="6">
        <v>6696</v>
      </c>
      <c r="BX291" s="6">
        <v>-5.04596641358055e-7</v>
      </c>
      <c r="BY291" s="6">
        <v>-4.68521681974849e-7</v>
      </c>
      <c r="BZ291" s="6">
        <v>1.26597766471248</v>
      </c>
    </row>
    <row r="292" spans="1:78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18"/>
      <c r="AZ292" s="18"/>
      <c r="BA292" s="6" t="s">
        <v>24</v>
      </c>
      <c r="BB292" s="6">
        <v>340</v>
      </c>
      <c r="BC292" s="6" t="s">
        <v>24</v>
      </c>
      <c r="BD292" s="6">
        <v>340</v>
      </c>
      <c r="BE292" s="6" t="s">
        <v>25</v>
      </c>
      <c r="BF292" s="6">
        <v>1024</v>
      </c>
      <c r="BG292" s="6" t="s">
        <v>26</v>
      </c>
      <c r="BH292" s="6">
        <v>5766</v>
      </c>
      <c r="BI292" s="6">
        <v>-4.4396181704957e-7</v>
      </c>
      <c r="BJ292" s="6">
        <v>-5.12707257006108e-7</v>
      </c>
      <c r="BK292" s="6">
        <v>1.34075978474415</v>
      </c>
      <c r="BL292" s="18"/>
      <c r="BM292" s="4">
        <f t="shared" si="10"/>
        <v>976.695</v>
      </c>
      <c r="BN292" s="15">
        <f t="shared" si="9"/>
        <v>636.695</v>
      </c>
      <c r="BO292" s="6"/>
      <c r="BP292" s="6" t="s">
        <v>24</v>
      </c>
      <c r="BQ292" s="6">
        <v>340</v>
      </c>
      <c r="BR292" s="6" t="s">
        <v>24</v>
      </c>
      <c r="BS292" s="6">
        <v>340</v>
      </c>
      <c r="BT292" s="6" t="s">
        <v>25</v>
      </c>
      <c r="BU292" s="6">
        <v>1243</v>
      </c>
      <c r="BV292" s="6" t="s">
        <v>26</v>
      </c>
      <c r="BW292" s="6">
        <v>7080</v>
      </c>
      <c r="BX292" s="6">
        <v>-4.73542993673707e-7</v>
      </c>
      <c r="BY292" s="6">
        <v>-4.37323548840042e-7</v>
      </c>
      <c r="BZ292" s="6">
        <v>1.2479928494459</v>
      </c>
    </row>
    <row r="293" spans="1:78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18"/>
      <c r="AZ293" s="18"/>
      <c r="BA293" s="6" t="s">
        <v>24</v>
      </c>
      <c r="BB293" s="6">
        <v>340</v>
      </c>
      <c r="BC293" s="6" t="s">
        <v>24</v>
      </c>
      <c r="BD293" s="6">
        <v>340</v>
      </c>
      <c r="BE293" s="6" t="s">
        <v>25</v>
      </c>
      <c r="BF293" s="6">
        <v>1089</v>
      </c>
      <c r="BG293" s="6" t="s">
        <v>26</v>
      </c>
      <c r="BH293" s="6">
        <v>6144</v>
      </c>
      <c r="BI293" s="6">
        <v>-6.21100829289929e-7</v>
      </c>
      <c r="BJ293" s="6">
        <v>-5.79343755910032e-7</v>
      </c>
      <c r="BK293" s="6">
        <v>1.3164830646226</v>
      </c>
      <c r="BL293" s="18"/>
      <c r="BM293" s="4">
        <f t="shared" si="10"/>
        <v>1039.555</v>
      </c>
      <c r="BN293" s="15">
        <f t="shared" si="9"/>
        <v>699.555</v>
      </c>
      <c r="BO293" s="6"/>
      <c r="BP293" s="6" t="s">
        <v>24</v>
      </c>
      <c r="BQ293" s="6">
        <v>340</v>
      </c>
      <c r="BR293" s="6" t="s">
        <v>24</v>
      </c>
      <c r="BS293" s="6">
        <v>340</v>
      </c>
      <c r="BT293" s="6" t="s">
        <v>25</v>
      </c>
      <c r="BU293" s="6">
        <v>1325</v>
      </c>
      <c r="BV293" s="6" t="s">
        <v>26</v>
      </c>
      <c r="BW293" s="6">
        <v>7560</v>
      </c>
      <c r="BX293" s="6">
        <v>-4.22059806569731e-7</v>
      </c>
      <c r="BY293" s="6">
        <v>-3.9798376434321e-7</v>
      </c>
      <c r="BZ293" s="6">
        <v>1.235654343552</v>
      </c>
    </row>
    <row r="294" spans="1:78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18"/>
      <c r="AZ294" s="18"/>
      <c r="BA294" s="10" t="s">
        <v>37</v>
      </c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8"/>
      <c r="BM294" s="4"/>
      <c r="BN294" s="15"/>
      <c r="BO294" s="6"/>
      <c r="BP294" s="10" t="s">
        <v>37</v>
      </c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</row>
    <row r="295" ht="23.25" spans="1:78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18"/>
      <c r="AZ295" s="18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8"/>
      <c r="BM295" s="4"/>
      <c r="BN295" s="15"/>
      <c r="BO295" s="3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</row>
    <row r="296" ht="23.25" spans="1:78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18"/>
      <c r="AZ296" s="18"/>
      <c r="BA296" s="6" t="s">
        <v>12</v>
      </c>
      <c r="BB296" s="6" t="s">
        <v>13</v>
      </c>
      <c r="BC296" s="6" t="s">
        <v>14</v>
      </c>
      <c r="BD296" s="6" t="s">
        <v>15</v>
      </c>
      <c r="BE296" s="6" t="s">
        <v>16</v>
      </c>
      <c r="BF296" s="6" t="s">
        <v>17</v>
      </c>
      <c r="BG296" s="6" t="s">
        <v>18</v>
      </c>
      <c r="BH296" s="6" t="s">
        <v>19</v>
      </c>
      <c r="BI296" s="6" t="s">
        <v>20</v>
      </c>
      <c r="BJ296" s="6" t="s">
        <v>21</v>
      </c>
      <c r="BK296" s="6" t="s">
        <v>22</v>
      </c>
      <c r="BL296" s="18"/>
      <c r="BM296" s="4"/>
      <c r="BN296" s="15"/>
      <c r="BO296" s="3"/>
      <c r="BP296" s="6" t="s">
        <v>12</v>
      </c>
      <c r="BQ296" s="6" t="s">
        <v>13</v>
      </c>
      <c r="BR296" s="6" t="s">
        <v>14</v>
      </c>
      <c r="BS296" s="6" t="s">
        <v>15</v>
      </c>
      <c r="BT296" s="6" t="s">
        <v>16</v>
      </c>
      <c r="BU296" s="6" t="s">
        <v>17</v>
      </c>
      <c r="BV296" s="6" t="s">
        <v>18</v>
      </c>
      <c r="BW296" s="6" t="s">
        <v>19</v>
      </c>
      <c r="BX296" s="6" t="s">
        <v>20</v>
      </c>
      <c r="BY296" s="6" t="s">
        <v>21</v>
      </c>
      <c r="BZ296" s="6" t="s">
        <v>22</v>
      </c>
    </row>
    <row r="297" spans="1:78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18"/>
      <c r="AZ297" s="18"/>
      <c r="BA297" s="6" t="s">
        <v>24</v>
      </c>
      <c r="BB297" s="6">
        <v>380</v>
      </c>
      <c r="BC297" s="6" t="s">
        <v>24</v>
      </c>
      <c r="BD297" s="6">
        <v>340</v>
      </c>
      <c r="BE297" s="6" t="s">
        <v>25</v>
      </c>
      <c r="BF297" s="6">
        <v>324</v>
      </c>
      <c r="BG297" s="6" t="s">
        <v>26</v>
      </c>
      <c r="BH297" s="6">
        <v>1734</v>
      </c>
      <c r="BI297" s="6">
        <v>-2.2111916900278</v>
      </c>
      <c r="BJ297" s="6">
        <v>-1.91896496593651</v>
      </c>
      <c r="BK297" s="6">
        <v>-0.460815088440207</v>
      </c>
      <c r="BL297" s="18"/>
      <c r="BM297" s="4">
        <f t="shared" si="10"/>
        <v>297.555</v>
      </c>
      <c r="BN297" s="15">
        <f t="shared" si="9"/>
        <v>82.4449999999999</v>
      </c>
      <c r="BO297" s="4"/>
      <c r="BP297" s="6" t="s">
        <v>24</v>
      </c>
      <c r="BQ297" s="6">
        <v>380</v>
      </c>
      <c r="BR297" s="6" t="s">
        <v>24</v>
      </c>
      <c r="BS297" s="6">
        <v>340</v>
      </c>
      <c r="BT297" s="6" t="s">
        <v>25</v>
      </c>
      <c r="BU297" s="6">
        <v>380</v>
      </c>
      <c r="BV297" s="6" t="s">
        <v>26</v>
      </c>
      <c r="BW297" s="6">
        <v>2070</v>
      </c>
      <c r="BX297" s="6">
        <v>-1.93909486298577</v>
      </c>
      <c r="BY297" s="6">
        <v>-1.61683063281708</v>
      </c>
      <c r="BZ297" s="6">
        <v>0.261894164962221</v>
      </c>
    </row>
    <row r="298" spans="1:7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18"/>
      <c r="AZ298" s="18"/>
      <c r="BA298" s="6" t="s">
        <v>24</v>
      </c>
      <c r="BB298" s="6">
        <v>380</v>
      </c>
      <c r="BC298" s="6" t="s">
        <v>24</v>
      </c>
      <c r="BD298" s="6">
        <v>340</v>
      </c>
      <c r="BE298" s="6" t="s">
        <v>25</v>
      </c>
      <c r="BF298" s="6">
        <v>361</v>
      </c>
      <c r="BG298" s="6" t="s">
        <v>26</v>
      </c>
      <c r="BH298" s="6">
        <v>1944</v>
      </c>
      <c r="BI298" s="6">
        <v>-2.02390070604456</v>
      </c>
      <c r="BJ298" s="6">
        <v>-1.66984569577307</v>
      </c>
      <c r="BK298" s="6">
        <v>0.197669086953539</v>
      </c>
      <c r="BL298" s="18"/>
      <c r="BM298" s="4">
        <f t="shared" si="10"/>
        <v>332.695</v>
      </c>
      <c r="BN298" s="15">
        <f t="shared" si="9"/>
        <v>47.305</v>
      </c>
      <c r="BO298" s="6"/>
      <c r="BP298" s="6" t="s">
        <v>24</v>
      </c>
      <c r="BQ298" s="6">
        <v>380</v>
      </c>
      <c r="BR298" s="6" t="s">
        <v>24</v>
      </c>
      <c r="BS298" s="6">
        <v>340</v>
      </c>
      <c r="BT298" s="6" t="s">
        <v>25</v>
      </c>
      <c r="BU298" s="6">
        <v>435</v>
      </c>
      <c r="BV298" s="6" t="s">
        <v>26</v>
      </c>
      <c r="BW298" s="6">
        <v>2388</v>
      </c>
      <c r="BX298" s="6">
        <v>-1.03396937138418</v>
      </c>
      <c r="BY298" s="6">
        <v>-0.89332406911154</v>
      </c>
      <c r="BZ298" s="6">
        <v>1.26154116808666</v>
      </c>
    </row>
    <row r="299" spans="1:78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18"/>
      <c r="AZ299" s="18"/>
      <c r="BA299" s="11" t="s">
        <v>24</v>
      </c>
      <c r="BB299" s="11">
        <v>380</v>
      </c>
      <c r="BC299" s="11" t="s">
        <v>24</v>
      </c>
      <c r="BD299" s="11">
        <v>340</v>
      </c>
      <c r="BE299" s="11" t="s">
        <v>25</v>
      </c>
      <c r="BF299" s="11">
        <v>400</v>
      </c>
      <c r="BG299" s="11" t="s">
        <v>26</v>
      </c>
      <c r="BH299" s="11">
        <v>2166</v>
      </c>
      <c r="BI299" s="11">
        <v>-1.51568734028855</v>
      </c>
      <c r="BJ299" s="11">
        <v>-1.31488378001506</v>
      </c>
      <c r="BK299" s="11">
        <v>0.768971149679676</v>
      </c>
      <c r="BL299" s="20"/>
      <c r="BM299" s="12">
        <f t="shared" si="10"/>
        <v>369.795</v>
      </c>
      <c r="BN299" s="15">
        <f t="shared" si="9"/>
        <v>10.2049999999999</v>
      </c>
      <c r="BO299" s="6"/>
      <c r="BP299" s="6" t="s">
        <v>24</v>
      </c>
      <c r="BQ299" s="6">
        <v>380</v>
      </c>
      <c r="BR299" s="6" t="s">
        <v>24</v>
      </c>
      <c r="BS299" s="6">
        <v>340</v>
      </c>
      <c r="BT299" s="6" t="s">
        <v>25</v>
      </c>
      <c r="BU299" s="6">
        <v>485</v>
      </c>
      <c r="BV299" s="6" t="s">
        <v>26</v>
      </c>
      <c r="BW299" s="6">
        <v>2676</v>
      </c>
      <c r="BX299" s="6">
        <v>-0.235153954240699</v>
      </c>
      <c r="BY299" s="6">
        <v>-0.207208856977824</v>
      </c>
      <c r="BZ299" s="6">
        <v>2.17069799333768</v>
      </c>
    </row>
    <row r="300" spans="1:78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18"/>
      <c r="AZ300" s="18"/>
      <c r="BA300" s="6" t="s">
        <v>24</v>
      </c>
      <c r="BB300" s="6">
        <v>380</v>
      </c>
      <c r="BC300" s="6" t="s">
        <v>24</v>
      </c>
      <c r="BD300" s="6">
        <v>340</v>
      </c>
      <c r="BE300" s="6" t="s">
        <v>25</v>
      </c>
      <c r="BF300" s="6">
        <v>441</v>
      </c>
      <c r="BG300" s="6" t="s">
        <v>26</v>
      </c>
      <c r="BH300" s="6">
        <v>2400</v>
      </c>
      <c r="BI300" s="6">
        <v>-0.746311372399167</v>
      </c>
      <c r="BJ300" s="6">
        <v>-0.673388741029193</v>
      </c>
      <c r="BK300" s="6">
        <v>1.4240412238897</v>
      </c>
      <c r="BL300" s="18"/>
      <c r="BM300" s="4">
        <f t="shared" si="10"/>
        <v>411.72</v>
      </c>
      <c r="BN300" s="15">
        <f t="shared" si="9"/>
        <v>31.7200000000001</v>
      </c>
      <c r="BO300" s="6"/>
      <c r="BP300" s="6" t="s">
        <v>24</v>
      </c>
      <c r="BQ300" s="6">
        <v>380</v>
      </c>
      <c r="BR300" s="6" t="s">
        <v>24</v>
      </c>
      <c r="BS300" s="6">
        <v>340</v>
      </c>
      <c r="BT300" s="6" t="s">
        <v>25</v>
      </c>
      <c r="BU300" s="6">
        <v>564</v>
      </c>
      <c r="BV300" s="6" t="s">
        <v>26</v>
      </c>
      <c r="BW300" s="6">
        <v>3138</v>
      </c>
      <c r="BX300" s="6">
        <v>-5.19086127802083e-6</v>
      </c>
      <c r="BY300" s="6">
        <v>-1.07835891991864e-5</v>
      </c>
      <c r="BZ300" s="6">
        <v>2.06142956302027</v>
      </c>
    </row>
    <row r="301" spans="1:78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8"/>
      <c r="AZ301" s="18"/>
      <c r="BA301" s="6" t="s">
        <v>24</v>
      </c>
      <c r="BB301" s="6">
        <v>380</v>
      </c>
      <c r="BC301" s="6" t="s">
        <v>24</v>
      </c>
      <c r="BD301" s="6">
        <v>340</v>
      </c>
      <c r="BE301" s="6" t="s">
        <v>25</v>
      </c>
      <c r="BF301" s="6">
        <v>484</v>
      </c>
      <c r="BG301" s="6" t="s">
        <v>26</v>
      </c>
      <c r="BH301" s="6">
        <v>2646</v>
      </c>
      <c r="BI301" s="6">
        <v>-0.234047958802706</v>
      </c>
      <c r="BJ301" s="6">
        <v>-0.226084299020665</v>
      </c>
      <c r="BK301" s="6">
        <v>2.21812108666916</v>
      </c>
      <c r="BL301" s="18"/>
      <c r="BM301" s="4">
        <f t="shared" si="10"/>
        <v>452.88</v>
      </c>
      <c r="BN301" s="15">
        <f t="shared" si="9"/>
        <v>72.8800000000001</v>
      </c>
      <c r="BO301" s="6"/>
      <c r="BP301" s="6" t="s">
        <v>24</v>
      </c>
      <c r="BQ301" s="6">
        <v>380</v>
      </c>
      <c r="BR301" s="6" t="s">
        <v>24</v>
      </c>
      <c r="BS301" s="6">
        <v>340</v>
      </c>
      <c r="BT301" s="6" t="s">
        <v>25</v>
      </c>
      <c r="BU301" s="6">
        <v>598</v>
      </c>
      <c r="BV301" s="6" t="s">
        <v>26</v>
      </c>
      <c r="BW301" s="6">
        <v>3330</v>
      </c>
      <c r="BX301" s="6">
        <v>-1.26381105211037e-6</v>
      </c>
      <c r="BY301" s="6">
        <v>-4.5260183078752e-6</v>
      </c>
      <c r="BZ301" s="6">
        <v>1.91321130791383</v>
      </c>
    </row>
    <row r="302" spans="1:78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8"/>
      <c r="AZ302" s="18"/>
      <c r="BA302" s="6" t="s">
        <v>24</v>
      </c>
      <c r="BB302" s="6">
        <v>380</v>
      </c>
      <c r="BC302" s="6" t="s">
        <v>24</v>
      </c>
      <c r="BD302" s="6">
        <v>340</v>
      </c>
      <c r="BE302" s="6" t="s">
        <v>25</v>
      </c>
      <c r="BF302" s="6">
        <v>529</v>
      </c>
      <c r="BG302" s="6" t="s">
        <v>26</v>
      </c>
      <c r="BH302" s="6">
        <v>2904</v>
      </c>
      <c r="BI302" s="6">
        <v>-9.47384605782082e-5</v>
      </c>
      <c r="BJ302" s="6">
        <v>-0.000527998127639645</v>
      </c>
      <c r="BK302" s="6">
        <v>2.82627422241828</v>
      </c>
      <c r="BL302" s="18"/>
      <c r="BM302" s="4">
        <f t="shared" si="10"/>
        <v>496</v>
      </c>
      <c r="BN302" s="15">
        <f t="shared" si="9"/>
        <v>116</v>
      </c>
      <c r="BO302" s="6"/>
      <c r="BP302" s="6" t="s">
        <v>24</v>
      </c>
      <c r="BQ302" s="6">
        <v>380</v>
      </c>
      <c r="BR302" s="6" t="s">
        <v>24</v>
      </c>
      <c r="BS302" s="6">
        <v>340</v>
      </c>
      <c r="BT302" s="6" t="s">
        <v>25</v>
      </c>
      <c r="BU302" s="6">
        <v>668</v>
      </c>
      <c r="BV302" s="6" t="s">
        <v>26</v>
      </c>
      <c r="BW302" s="6">
        <v>3738</v>
      </c>
      <c r="BX302" s="6">
        <v>-4.30023047728914e-6</v>
      </c>
      <c r="BY302" s="6">
        <v>-4.23526325193264e-6</v>
      </c>
      <c r="BZ302" s="6">
        <v>1.75759904467342</v>
      </c>
    </row>
    <row r="303" spans="1:78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6" t="s">
        <v>24</v>
      </c>
      <c r="BB303" s="6">
        <v>380</v>
      </c>
      <c r="BC303" s="6" t="s">
        <v>24</v>
      </c>
      <c r="BD303" s="6">
        <v>340</v>
      </c>
      <c r="BE303" s="6" t="s">
        <v>25</v>
      </c>
      <c r="BF303" s="6">
        <v>576</v>
      </c>
      <c r="BG303" s="6" t="s">
        <v>26</v>
      </c>
      <c r="BH303" s="6">
        <v>3174</v>
      </c>
      <c r="BI303" s="6">
        <v>-1.4831864495365e-5</v>
      </c>
      <c r="BJ303" s="6">
        <v>-1.70940172670739e-5</v>
      </c>
      <c r="BK303" s="6">
        <v>2.10052723151413</v>
      </c>
      <c r="BL303" s="18"/>
      <c r="BM303" s="4">
        <f t="shared" si="10"/>
        <v>541.08</v>
      </c>
      <c r="BN303" s="15">
        <f t="shared" si="9"/>
        <v>161.08</v>
      </c>
      <c r="BO303" s="6"/>
      <c r="BP303" s="6" t="s">
        <v>24</v>
      </c>
      <c r="BQ303" s="6">
        <v>380</v>
      </c>
      <c r="BR303" s="6" t="s">
        <v>24</v>
      </c>
      <c r="BS303" s="6">
        <v>340</v>
      </c>
      <c r="BT303" s="6" t="s">
        <v>25</v>
      </c>
      <c r="BU303" s="6">
        <v>741</v>
      </c>
      <c r="BV303" s="6" t="s">
        <v>26</v>
      </c>
      <c r="BW303" s="6">
        <v>4164</v>
      </c>
      <c r="BX303" s="6">
        <v>-1.22815994314009e-6</v>
      </c>
      <c r="BY303" s="6">
        <v>-1.37971437595968e-6</v>
      </c>
      <c r="BZ303" s="6">
        <v>1.54457390244308</v>
      </c>
    </row>
    <row r="304" spans="1:78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18"/>
      <c r="AZ304" s="18"/>
      <c r="BA304" s="6" t="s">
        <v>24</v>
      </c>
      <c r="BB304" s="6">
        <v>380</v>
      </c>
      <c r="BC304" s="6" t="s">
        <v>24</v>
      </c>
      <c r="BD304" s="6">
        <v>340</v>
      </c>
      <c r="BE304" s="6" t="s">
        <v>25</v>
      </c>
      <c r="BF304" s="6">
        <v>625</v>
      </c>
      <c r="BG304" s="6" t="s">
        <v>26</v>
      </c>
      <c r="BH304" s="6">
        <v>3456</v>
      </c>
      <c r="BI304" s="6">
        <v>-6.066104306229e-6</v>
      </c>
      <c r="BJ304" s="6">
        <v>-7.06710801175293e-6</v>
      </c>
      <c r="BK304" s="6">
        <v>1.9177315994855</v>
      </c>
      <c r="BL304" s="18"/>
      <c r="BM304" s="4">
        <f t="shared" si="10"/>
        <v>588.12</v>
      </c>
      <c r="BN304" s="15">
        <f t="shared" si="9"/>
        <v>208.12</v>
      </c>
      <c r="BO304" s="6"/>
      <c r="BP304" s="6" t="s">
        <v>24</v>
      </c>
      <c r="BQ304" s="6">
        <v>380</v>
      </c>
      <c r="BR304" s="6" t="s">
        <v>24</v>
      </c>
      <c r="BS304" s="6">
        <v>340</v>
      </c>
      <c r="BT304" s="6" t="s">
        <v>25</v>
      </c>
      <c r="BU304" s="6">
        <v>797</v>
      </c>
      <c r="BV304" s="6" t="s">
        <v>26</v>
      </c>
      <c r="BW304" s="6">
        <v>4488</v>
      </c>
      <c r="BX304" s="6">
        <v>-1.91376368959557e-6</v>
      </c>
      <c r="BY304" s="6">
        <v>-1.79680218352878e-6</v>
      </c>
      <c r="BZ304" s="6">
        <v>1.5578273363775</v>
      </c>
    </row>
    <row r="305" spans="1:78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18"/>
      <c r="AZ305" s="18"/>
      <c r="BA305" s="6" t="s">
        <v>24</v>
      </c>
      <c r="BB305" s="6">
        <v>380</v>
      </c>
      <c r="BC305" s="6" t="s">
        <v>24</v>
      </c>
      <c r="BD305" s="6">
        <v>340</v>
      </c>
      <c r="BE305" s="6" t="s">
        <v>25</v>
      </c>
      <c r="BF305" s="6">
        <v>676</v>
      </c>
      <c r="BG305" s="6" t="s">
        <v>26</v>
      </c>
      <c r="BH305" s="6">
        <v>3750</v>
      </c>
      <c r="BI305" s="6">
        <v>-4.67818777277154e-6</v>
      </c>
      <c r="BJ305" s="6">
        <v>-4.94434657094016e-6</v>
      </c>
      <c r="BK305" s="6">
        <v>1.81544298757886</v>
      </c>
      <c r="BL305" s="18"/>
      <c r="BM305" s="4">
        <f t="shared" si="10"/>
        <v>637.12</v>
      </c>
      <c r="BN305" s="15">
        <f t="shared" ref="BN305:BN368" si="11">ABS(BB305-BM305)</f>
        <v>257.12</v>
      </c>
      <c r="BO305" s="6"/>
      <c r="BP305" s="6" t="s">
        <v>24</v>
      </c>
      <c r="BQ305" s="6">
        <v>380</v>
      </c>
      <c r="BR305" s="6" t="s">
        <v>24</v>
      </c>
      <c r="BS305" s="6">
        <v>340</v>
      </c>
      <c r="BT305" s="6" t="s">
        <v>25</v>
      </c>
      <c r="BU305" s="6">
        <v>861</v>
      </c>
      <c r="BV305" s="6" t="s">
        <v>26</v>
      </c>
      <c r="BW305" s="6">
        <v>4860</v>
      </c>
      <c r="BX305" s="6">
        <v>-1.5575564971042e-6</v>
      </c>
      <c r="BY305" s="6">
        <v>-1.41573563716041e-6</v>
      </c>
      <c r="BZ305" s="6">
        <v>1.49466227028524</v>
      </c>
    </row>
    <row r="306" spans="1:78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18"/>
      <c r="AZ306" s="18"/>
      <c r="BA306" s="6" t="s">
        <v>24</v>
      </c>
      <c r="BB306" s="6">
        <v>380</v>
      </c>
      <c r="BC306" s="6" t="s">
        <v>24</v>
      </c>
      <c r="BD306" s="6">
        <v>340</v>
      </c>
      <c r="BE306" s="6" t="s">
        <v>25</v>
      </c>
      <c r="BF306" s="6">
        <v>729</v>
      </c>
      <c r="BG306" s="6" t="s">
        <v>26</v>
      </c>
      <c r="BH306" s="6">
        <v>4056</v>
      </c>
      <c r="BI306" s="6">
        <v>-2.64168358160914e-6</v>
      </c>
      <c r="BJ306" s="6">
        <v>-2.80687475302193e-6</v>
      </c>
      <c r="BK306" s="6">
        <v>1.69682085523942</v>
      </c>
      <c r="BL306" s="18"/>
      <c r="BM306" s="4">
        <f t="shared" si="10"/>
        <v>688.08</v>
      </c>
      <c r="BN306" s="15">
        <f t="shared" si="11"/>
        <v>308.08</v>
      </c>
      <c r="BO306" s="6"/>
      <c r="BP306" s="6" t="s">
        <v>24</v>
      </c>
      <c r="BQ306" s="6">
        <v>380</v>
      </c>
      <c r="BR306" s="6" t="s">
        <v>24</v>
      </c>
      <c r="BS306" s="6">
        <v>340</v>
      </c>
      <c r="BT306" s="6" t="s">
        <v>25</v>
      </c>
      <c r="BU306" s="6">
        <v>927</v>
      </c>
      <c r="BV306" s="6" t="s">
        <v>26</v>
      </c>
      <c r="BW306" s="6">
        <v>5244</v>
      </c>
      <c r="BX306" s="6">
        <v>-9.43563041044921e-7</v>
      </c>
      <c r="BY306" s="6">
        <v>-9.53914005067684e-7</v>
      </c>
      <c r="BZ306" s="6">
        <v>1.44100527384519</v>
      </c>
    </row>
    <row r="307" spans="1:78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18"/>
      <c r="AZ307" s="18"/>
      <c r="BA307" s="6" t="s">
        <v>24</v>
      </c>
      <c r="BB307" s="6">
        <v>380</v>
      </c>
      <c r="BC307" s="6" t="s">
        <v>24</v>
      </c>
      <c r="BD307" s="6">
        <v>340</v>
      </c>
      <c r="BE307" s="6" t="s">
        <v>25</v>
      </c>
      <c r="BF307" s="6">
        <v>784</v>
      </c>
      <c r="BG307" s="6" t="s">
        <v>26</v>
      </c>
      <c r="BH307" s="6">
        <v>4374</v>
      </c>
      <c r="BI307" s="6">
        <v>-2.45351749411303e-6</v>
      </c>
      <c r="BJ307" s="6">
        <v>-2.47333204286756e-6</v>
      </c>
      <c r="BK307" s="6">
        <v>1.65488701579718</v>
      </c>
      <c r="BL307" s="18"/>
      <c r="BM307" s="4">
        <f t="shared" si="10"/>
        <v>744.855</v>
      </c>
      <c r="BN307" s="15">
        <f t="shared" si="11"/>
        <v>364.855</v>
      </c>
      <c r="BO307" s="6"/>
      <c r="BP307" s="6" t="s">
        <v>24</v>
      </c>
      <c r="BQ307" s="6">
        <v>380</v>
      </c>
      <c r="BR307" s="6" t="s">
        <v>24</v>
      </c>
      <c r="BS307" s="6">
        <v>340</v>
      </c>
      <c r="BT307" s="6" t="s">
        <v>25</v>
      </c>
      <c r="BU307" s="6">
        <v>977</v>
      </c>
      <c r="BV307" s="6" t="s">
        <v>26</v>
      </c>
      <c r="BW307" s="6">
        <v>5532</v>
      </c>
      <c r="BX307" s="6">
        <v>-8.26978690777048e-7</v>
      </c>
      <c r="BY307" s="6">
        <v>-8.25723881815752e-7</v>
      </c>
      <c r="BZ307" s="6">
        <v>1.40616061875606</v>
      </c>
    </row>
    <row r="308" spans="1:7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18"/>
      <c r="AZ308" s="18"/>
      <c r="BA308" s="6" t="s">
        <v>24</v>
      </c>
      <c r="BB308" s="6">
        <v>380</v>
      </c>
      <c r="BC308" s="6" t="s">
        <v>24</v>
      </c>
      <c r="BD308" s="6">
        <v>340</v>
      </c>
      <c r="BE308" s="6" t="s">
        <v>25</v>
      </c>
      <c r="BF308" s="6">
        <v>841</v>
      </c>
      <c r="BG308" s="6" t="s">
        <v>26</v>
      </c>
      <c r="BH308" s="6">
        <v>4704</v>
      </c>
      <c r="BI308" s="6">
        <v>-1.68866144409498e-6</v>
      </c>
      <c r="BJ308" s="6">
        <v>-1.86455405721512e-6</v>
      </c>
      <c r="BK308" s="6">
        <v>1.61573995201869</v>
      </c>
      <c r="BL308" s="18"/>
      <c r="BM308" s="4">
        <f t="shared" si="10"/>
        <v>799.875</v>
      </c>
      <c r="BN308" s="15">
        <f t="shared" si="11"/>
        <v>419.875</v>
      </c>
      <c r="BO308" s="6"/>
      <c r="BP308" s="6" t="s">
        <v>24</v>
      </c>
      <c r="BQ308" s="6">
        <v>380</v>
      </c>
      <c r="BR308" s="6" t="s">
        <v>24</v>
      </c>
      <c r="BS308" s="6">
        <v>340</v>
      </c>
      <c r="BT308" s="6" t="s">
        <v>25</v>
      </c>
      <c r="BU308" s="6">
        <v>1034</v>
      </c>
      <c r="BV308" s="6" t="s">
        <v>26</v>
      </c>
      <c r="BW308" s="6">
        <v>5862</v>
      </c>
      <c r="BX308" s="6">
        <v>-7.43943077837523e-7</v>
      </c>
      <c r="BY308" s="6">
        <v>-7.32298148964358e-7</v>
      </c>
      <c r="BZ308" s="6">
        <v>1.37682440039454</v>
      </c>
    </row>
    <row r="309" spans="1:78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18"/>
      <c r="AZ309" s="18"/>
      <c r="BA309" s="6" t="s">
        <v>24</v>
      </c>
      <c r="BB309" s="6">
        <v>380</v>
      </c>
      <c r="BC309" s="6" t="s">
        <v>24</v>
      </c>
      <c r="BD309" s="6">
        <v>340</v>
      </c>
      <c r="BE309" s="6" t="s">
        <v>25</v>
      </c>
      <c r="BF309" s="6">
        <v>900</v>
      </c>
      <c r="BG309" s="6" t="s">
        <v>26</v>
      </c>
      <c r="BH309" s="6">
        <v>5046</v>
      </c>
      <c r="BI309" s="6">
        <v>-1.26074697811907e-6</v>
      </c>
      <c r="BJ309" s="6">
        <v>-1.51325254266617e-6</v>
      </c>
      <c r="BK309" s="6">
        <v>1.58215645712525</v>
      </c>
      <c r="BL309" s="18"/>
      <c r="BM309" s="4">
        <f t="shared" si="10"/>
        <v>856.855</v>
      </c>
      <c r="BN309" s="15">
        <f t="shared" si="11"/>
        <v>476.855</v>
      </c>
      <c r="BO309" s="6"/>
      <c r="BP309" s="6" t="s">
        <v>24</v>
      </c>
      <c r="BQ309" s="6">
        <v>380</v>
      </c>
      <c r="BR309" s="6" t="s">
        <v>24</v>
      </c>
      <c r="BS309" s="6">
        <v>340</v>
      </c>
      <c r="BT309" s="6" t="s">
        <v>25</v>
      </c>
      <c r="BU309" s="6">
        <v>1085</v>
      </c>
      <c r="BV309" s="6" t="s">
        <v>26</v>
      </c>
      <c r="BW309" s="6">
        <v>6156</v>
      </c>
      <c r="BX309" s="6">
        <v>-9.52562717313315e-7</v>
      </c>
      <c r="BY309" s="6">
        <v>-8.75465027722801e-7</v>
      </c>
      <c r="BZ309" s="6">
        <v>1.39472111444366</v>
      </c>
    </row>
    <row r="310" spans="1:78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18"/>
      <c r="AZ310" s="18"/>
      <c r="BA310" s="6" t="s">
        <v>24</v>
      </c>
      <c r="BB310" s="6">
        <v>380</v>
      </c>
      <c r="BC310" s="6" t="s">
        <v>24</v>
      </c>
      <c r="BD310" s="6">
        <v>340</v>
      </c>
      <c r="BE310" s="6" t="s">
        <v>25</v>
      </c>
      <c r="BF310" s="6">
        <v>961</v>
      </c>
      <c r="BG310" s="6" t="s">
        <v>26</v>
      </c>
      <c r="BH310" s="6">
        <v>5400</v>
      </c>
      <c r="BI310" s="6">
        <v>-9.69344616703833e-7</v>
      </c>
      <c r="BJ310" s="6">
        <v>-1.15795722663526e-6</v>
      </c>
      <c r="BK310" s="6">
        <v>1.52369623253094</v>
      </c>
      <c r="BL310" s="18"/>
      <c r="BM310" s="4">
        <f t="shared" si="10"/>
        <v>915.795</v>
      </c>
      <c r="BN310" s="15">
        <f t="shared" si="11"/>
        <v>535.795</v>
      </c>
      <c r="BO310" s="6"/>
      <c r="BP310" s="6" t="s">
        <v>24</v>
      </c>
      <c r="BQ310" s="6">
        <v>380</v>
      </c>
      <c r="BR310" s="6" t="s">
        <v>24</v>
      </c>
      <c r="BS310" s="6">
        <v>340</v>
      </c>
      <c r="BT310" s="6" t="s">
        <v>25</v>
      </c>
      <c r="BU310" s="6">
        <v>1177</v>
      </c>
      <c r="BV310" s="6" t="s">
        <v>26</v>
      </c>
      <c r="BW310" s="6">
        <v>6696</v>
      </c>
      <c r="BX310" s="6">
        <v>-7.37352186919292e-7</v>
      </c>
      <c r="BY310" s="6">
        <v>-6.96180253252488e-7</v>
      </c>
      <c r="BZ310" s="6">
        <v>1.35429644679836</v>
      </c>
    </row>
    <row r="311" spans="1:78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18"/>
      <c r="AZ311" s="18"/>
      <c r="BA311" s="6" t="s">
        <v>24</v>
      </c>
      <c r="BB311" s="6">
        <v>380</v>
      </c>
      <c r="BC311" s="6" t="s">
        <v>24</v>
      </c>
      <c r="BD311" s="6">
        <v>340</v>
      </c>
      <c r="BE311" s="6" t="s">
        <v>25</v>
      </c>
      <c r="BF311" s="6">
        <v>1024</v>
      </c>
      <c r="BG311" s="6" t="s">
        <v>26</v>
      </c>
      <c r="BH311" s="6">
        <v>5766</v>
      </c>
      <c r="BI311" s="6">
        <v>-1.00142057431586e-6</v>
      </c>
      <c r="BJ311" s="6">
        <v>-1.03999591023319e-6</v>
      </c>
      <c r="BK311" s="6">
        <v>1.46915070931171</v>
      </c>
      <c r="BL311" s="18"/>
      <c r="BM311" s="4">
        <f t="shared" si="10"/>
        <v>976.695</v>
      </c>
      <c r="BN311" s="15">
        <f t="shared" si="11"/>
        <v>596.695</v>
      </c>
      <c r="BO311" s="6"/>
      <c r="BP311" s="6" t="s">
        <v>24</v>
      </c>
      <c r="BQ311" s="6">
        <v>380</v>
      </c>
      <c r="BR311" s="6" t="s">
        <v>24</v>
      </c>
      <c r="BS311" s="6">
        <v>340</v>
      </c>
      <c r="BT311" s="6" t="s">
        <v>25</v>
      </c>
      <c r="BU311" s="6">
        <v>1243</v>
      </c>
      <c r="BV311" s="6" t="s">
        <v>26</v>
      </c>
      <c r="BW311" s="6">
        <v>7080</v>
      </c>
      <c r="BX311" s="6">
        <v>-7.90088551578866e-7</v>
      </c>
      <c r="BY311" s="6">
        <v>-7.18900575472092e-7</v>
      </c>
      <c r="BZ311" s="6">
        <v>1.35051303252933</v>
      </c>
    </row>
    <row r="312" spans="1:78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18"/>
      <c r="AZ312" s="18"/>
      <c r="BA312" s="6" t="s">
        <v>24</v>
      </c>
      <c r="BB312" s="6">
        <v>380</v>
      </c>
      <c r="BC312" s="6" t="s">
        <v>24</v>
      </c>
      <c r="BD312" s="6">
        <v>340</v>
      </c>
      <c r="BE312" s="6" t="s">
        <v>25</v>
      </c>
      <c r="BF312" s="6">
        <v>1089</v>
      </c>
      <c r="BG312" s="6" t="s">
        <v>26</v>
      </c>
      <c r="BH312" s="6">
        <v>6144</v>
      </c>
      <c r="BI312" s="6">
        <v>-8.59427805280198e-7</v>
      </c>
      <c r="BJ312" s="6">
        <v>-8.43553322009766e-7</v>
      </c>
      <c r="BK312" s="6">
        <v>1.40983191263479</v>
      </c>
      <c r="BL312" s="18"/>
      <c r="BM312" s="4">
        <f t="shared" si="10"/>
        <v>1039.555</v>
      </c>
      <c r="BN312" s="15">
        <f t="shared" si="11"/>
        <v>659.555</v>
      </c>
      <c r="BO312" s="6"/>
      <c r="BP312" s="6" t="s">
        <v>24</v>
      </c>
      <c r="BQ312" s="6">
        <v>380</v>
      </c>
      <c r="BR312" s="6" t="s">
        <v>24</v>
      </c>
      <c r="BS312" s="6">
        <v>340</v>
      </c>
      <c r="BT312" s="6" t="s">
        <v>25</v>
      </c>
      <c r="BU312" s="6">
        <v>1325</v>
      </c>
      <c r="BV312" s="6" t="s">
        <v>26</v>
      </c>
      <c r="BW312" s="6">
        <v>7560</v>
      </c>
      <c r="BX312" s="6">
        <v>-6.59644643965001e-7</v>
      </c>
      <c r="BY312" s="6">
        <v>-6.10421647105424e-7</v>
      </c>
      <c r="BZ312" s="6">
        <v>1.31962248507842</v>
      </c>
    </row>
    <row r="313" spans="1:78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18"/>
      <c r="AZ313" s="18"/>
      <c r="BA313" s="10" t="s">
        <v>38</v>
      </c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8"/>
      <c r="BM313" s="4"/>
      <c r="BN313" s="15"/>
      <c r="BO313" s="6"/>
      <c r="BP313" s="10" t="s">
        <v>38</v>
      </c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</row>
    <row r="314" ht="23.25" spans="1:78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18"/>
      <c r="AZ314" s="18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8"/>
      <c r="BM314" s="4"/>
      <c r="BN314" s="15"/>
      <c r="BO314" s="3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</row>
    <row r="315" ht="23.25" spans="1:78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18"/>
      <c r="AZ315" s="18"/>
      <c r="BA315" s="6" t="s">
        <v>12</v>
      </c>
      <c r="BB315" s="6" t="s">
        <v>13</v>
      </c>
      <c r="BC315" s="6" t="s">
        <v>14</v>
      </c>
      <c r="BD315" s="6" t="s">
        <v>15</v>
      </c>
      <c r="BE315" s="6" t="s">
        <v>16</v>
      </c>
      <c r="BF315" s="6" t="s">
        <v>17</v>
      </c>
      <c r="BG315" s="6" t="s">
        <v>18</v>
      </c>
      <c r="BH315" s="6" t="s">
        <v>19</v>
      </c>
      <c r="BI315" s="6" t="s">
        <v>20</v>
      </c>
      <c r="BJ315" s="6" t="s">
        <v>21</v>
      </c>
      <c r="BK315" s="6" t="s">
        <v>22</v>
      </c>
      <c r="BL315" s="18"/>
      <c r="BM315" s="4"/>
      <c r="BN315" s="15"/>
      <c r="BO315" s="3"/>
      <c r="BP315" s="6" t="s">
        <v>12</v>
      </c>
      <c r="BQ315" s="6" t="s">
        <v>13</v>
      </c>
      <c r="BR315" s="6" t="s">
        <v>14</v>
      </c>
      <c r="BS315" s="6" t="s">
        <v>15</v>
      </c>
      <c r="BT315" s="6" t="s">
        <v>16</v>
      </c>
      <c r="BU315" s="6" t="s">
        <v>17</v>
      </c>
      <c r="BV315" s="6" t="s">
        <v>18</v>
      </c>
      <c r="BW315" s="6" t="s">
        <v>19</v>
      </c>
      <c r="BX315" s="6" t="s">
        <v>20</v>
      </c>
      <c r="BY315" s="6" t="s">
        <v>21</v>
      </c>
      <c r="BZ315" s="6" t="s">
        <v>22</v>
      </c>
    </row>
    <row r="316" spans="1:78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18"/>
      <c r="AZ316" s="18"/>
      <c r="BA316" s="6" t="s">
        <v>24</v>
      </c>
      <c r="BB316" s="6">
        <v>435</v>
      </c>
      <c r="BC316" s="6" t="s">
        <v>24</v>
      </c>
      <c r="BD316" s="6">
        <v>340</v>
      </c>
      <c r="BE316" s="6" t="s">
        <v>25</v>
      </c>
      <c r="BF316" s="6">
        <v>361</v>
      </c>
      <c r="BG316" s="6" t="s">
        <v>26</v>
      </c>
      <c r="BH316" s="6">
        <v>1944</v>
      </c>
      <c r="BI316" s="6">
        <v>-2.1921094791392</v>
      </c>
      <c r="BJ316" s="6">
        <v>-1.86813489414168</v>
      </c>
      <c r="BK316" s="6">
        <v>-0.232296549494826</v>
      </c>
      <c r="BL316" s="18"/>
      <c r="BM316" s="4">
        <f t="shared" si="10"/>
        <v>332.695</v>
      </c>
      <c r="BN316" s="15">
        <f t="shared" si="11"/>
        <v>102.305</v>
      </c>
      <c r="BO316" s="4"/>
      <c r="BP316" s="6" t="s">
        <v>24</v>
      </c>
      <c r="BQ316" s="6">
        <v>435</v>
      </c>
      <c r="BR316" s="6" t="s">
        <v>24</v>
      </c>
      <c r="BS316" s="6">
        <v>340</v>
      </c>
      <c r="BT316" s="6" t="s">
        <v>25</v>
      </c>
      <c r="BU316" s="6">
        <v>435</v>
      </c>
      <c r="BV316" s="6" t="s">
        <v>26</v>
      </c>
      <c r="BW316" s="6">
        <v>2388</v>
      </c>
      <c r="BX316" s="6">
        <v>-1.99291502638711</v>
      </c>
      <c r="BY316" s="6">
        <v>-1.63848780884475</v>
      </c>
      <c r="BZ316" s="6">
        <v>0.518813726920987</v>
      </c>
    </row>
    <row r="317" spans="1:78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18"/>
      <c r="AZ317" s="18"/>
      <c r="BA317" s="6" t="s">
        <v>24</v>
      </c>
      <c r="BB317" s="6">
        <v>435</v>
      </c>
      <c r="BC317" s="6" t="s">
        <v>24</v>
      </c>
      <c r="BD317" s="6">
        <v>340</v>
      </c>
      <c r="BE317" s="6" t="s">
        <v>25</v>
      </c>
      <c r="BF317" s="6">
        <v>400</v>
      </c>
      <c r="BG317" s="6" t="s">
        <v>26</v>
      </c>
      <c r="BH317" s="6">
        <v>2166</v>
      </c>
      <c r="BI317" s="6">
        <v>-1.95779707400138</v>
      </c>
      <c r="BJ317" s="6">
        <v>-1.61009150131922</v>
      </c>
      <c r="BK317" s="6">
        <v>0.329716713897049</v>
      </c>
      <c r="BL317" s="18"/>
      <c r="BM317" s="4">
        <f t="shared" si="10"/>
        <v>369.795</v>
      </c>
      <c r="BN317" s="15">
        <f t="shared" si="11"/>
        <v>65.2049999999999</v>
      </c>
      <c r="BO317" s="6"/>
      <c r="BP317" s="6" t="s">
        <v>24</v>
      </c>
      <c r="BQ317" s="6">
        <v>435</v>
      </c>
      <c r="BR317" s="6" t="s">
        <v>24</v>
      </c>
      <c r="BS317" s="6">
        <v>340</v>
      </c>
      <c r="BT317" s="6" t="s">
        <v>25</v>
      </c>
      <c r="BU317" s="6">
        <v>485</v>
      </c>
      <c r="BV317" s="6" t="s">
        <v>26</v>
      </c>
      <c r="BW317" s="6">
        <v>2676</v>
      </c>
      <c r="BX317" s="6">
        <v>-0.840812876167265</v>
      </c>
      <c r="BY317" s="6">
        <v>-0.743127697043943</v>
      </c>
      <c r="BZ317" s="6">
        <v>1.65517950932907</v>
      </c>
    </row>
    <row r="318" spans="1:7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18"/>
      <c r="AZ318" s="18"/>
      <c r="BA318" s="6" t="s">
        <v>24</v>
      </c>
      <c r="BB318" s="6">
        <v>435</v>
      </c>
      <c r="BC318" s="6" t="s">
        <v>24</v>
      </c>
      <c r="BD318" s="6">
        <v>340</v>
      </c>
      <c r="BE318" s="6" t="s">
        <v>25</v>
      </c>
      <c r="BF318" s="6">
        <v>441</v>
      </c>
      <c r="BG318" s="6" t="s">
        <v>26</v>
      </c>
      <c r="BH318" s="6">
        <v>2400</v>
      </c>
      <c r="BI318" s="6">
        <v>-1.30861060181893</v>
      </c>
      <c r="BJ318" s="6">
        <v>-1.12545968411407</v>
      </c>
      <c r="BK318" s="6">
        <v>1.01551022948454</v>
      </c>
      <c r="BL318" s="18"/>
      <c r="BM318" s="4">
        <f t="shared" si="10"/>
        <v>411.72</v>
      </c>
      <c r="BN318" s="15">
        <f t="shared" si="11"/>
        <v>23.2799999999999</v>
      </c>
      <c r="BO318" s="6"/>
      <c r="BP318" s="6" t="s">
        <v>24</v>
      </c>
      <c r="BQ318" s="6">
        <v>435</v>
      </c>
      <c r="BR318" s="6" t="s">
        <v>24</v>
      </c>
      <c r="BS318" s="6">
        <v>340</v>
      </c>
      <c r="BT318" s="6" t="s">
        <v>25</v>
      </c>
      <c r="BU318" s="6">
        <v>564</v>
      </c>
      <c r="BV318" s="6" t="s">
        <v>26</v>
      </c>
      <c r="BW318" s="6">
        <v>3138</v>
      </c>
      <c r="BX318" s="6">
        <v>0.000484974750098795</v>
      </c>
      <c r="BY318" s="6">
        <v>4.02716168334852e-5</v>
      </c>
      <c r="BZ318" s="6">
        <v>2.61343879535951</v>
      </c>
    </row>
    <row r="319" spans="1:78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18"/>
      <c r="AZ319" s="18"/>
      <c r="BA319" s="11" t="s">
        <v>24</v>
      </c>
      <c r="BB319" s="11">
        <v>435</v>
      </c>
      <c r="BC319" s="11" t="s">
        <v>24</v>
      </c>
      <c r="BD319" s="11">
        <v>340</v>
      </c>
      <c r="BE319" s="11" t="s">
        <v>25</v>
      </c>
      <c r="BF319" s="11">
        <v>484</v>
      </c>
      <c r="BG319" s="11" t="s">
        <v>26</v>
      </c>
      <c r="BH319" s="11">
        <v>2646</v>
      </c>
      <c r="BI319" s="11">
        <v>-0.589047510808483</v>
      </c>
      <c r="BJ319" s="11">
        <v>-0.532062905637356</v>
      </c>
      <c r="BK319" s="11">
        <v>1.77355986082029</v>
      </c>
      <c r="BL319" s="20"/>
      <c r="BM319" s="12">
        <f t="shared" si="10"/>
        <v>452.88</v>
      </c>
      <c r="BN319" s="15">
        <f t="shared" si="11"/>
        <v>17.8800000000001</v>
      </c>
      <c r="BO319" s="6"/>
      <c r="BP319" s="6" t="s">
        <v>24</v>
      </c>
      <c r="BQ319" s="6">
        <v>435</v>
      </c>
      <c r="BR319" s="6" t="s">
        <v>24</v>
      </c>
      <c r="BS319" s="6">
        <v>340</v>
      </c>
      <c r="BT319" s="6" t="s">
        <v>25</v>
      </c>
      <c r="BU319" s="6">
        <v>598</v>
      </c>
      <c r="BV319" s="6" t="s">
        <v>26</v>
      </c>
      <c r="BW319" s="6">
        <v>3330</v>
      </c>
      <c r="BX319" s="6">
        <v>1.29541506111844e-5</v>
      </c>
      <c r="BY319" s="6">
        <v>-8.45448291146399e-6</v>
      </c>
      <c r="BZ319" s="6">
        <v>2.23412748639134</v>
      </c>
    </row>
    <row r="320" spans="1:78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18"/>
      <c r="AZ320" s="18"/>
      <c r="BA320" s="6" t="s">
        <v>24</v>
      </c>
      <c r="BB320" s="6">
        <v>435</v>
      </c>
      <c r="BC320" s="6" t="s">
        <v>24</v>
      </c>
      <c r="BD320" s="6">
        <v>340</v>
      </c>
      <c r="BE320" s="6" t="s">
        <v>25</v>
      </c>
      <c r="BF320" s="6">
        <v>529</v>
      </c>
      <c r="BG320" s="6" t="s">
        <v>26</v>
      </c>
      <c r="BH320" s="6">
        <v>2904</v>
      </c>
      <c r="BI320" s="6">
        <v>-0.110191819348743</v>
      </c>
      <c r="BJ320" s="6">
        <v>-0.0979054628412778</v>
      </c>
      <c r="BK320" s="6">
        <v>2.6219916816074</v>
      </c>
      <c r="BL320" s="18"/>
      <c r="BM320" s="4">
        <f t="shared" si="10"/>
        <v>496</v>
      </c>
      <c r="BN320" s="15">
        <f t="shared" si="11"/>
        <v>61</v>
      </c>
      <c r="BO320" s="6"/>
      <c r="BP320" s="6" t="s">
        <v>24</v>
      </c>
      <c r="BQ320" s="6">
        <v>435</v>
      </c>
      <c r="BR320" s="6" t="s">
        <v>24</v>
      </c>
      <c r="BS320" s="6">
        <v>340</v>
      </c>
      <c r="BT320" s="6" t="s">
        <v>25</v>
      </c>
      <c r="BU320" s="6">
        <v>668</v>
      </c>
      <c r="BV320" s="6" t="s">
        <v>26</v>
      </c>
      <c r="BW320" s="6">
        <v>3738</v>
      </c>
      <c r="BX320" s="6">
        <v>-8.39690661437453e-6</v>
      </c>
      <c r="BY320" s="6">
        <v>-8.15945660476349e-6</v>
      </c>
      <c r="BZ320" s="6">
        <v>1.90417655521259</v>
      </c>
    </row>
    <row r="321" spans="1:78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8"/>
      <c r="AZ321" s="18"/>
      <c r="BA321" s="6" t="s">
        <v>24</v>
      </c>
      <c r="BB321" s="6">
        <v>435</v>
      </c>
      <c r="BC321" s="6" t="s">
        <v>24</v>
      </c>
      <c r="BD321" s="6">
        <v>340</v>
      </c>
      <c r="BE321" s="6" t="s">
        <v>25</v>
      </c>
      <c r="BF321" s="6">
        <v>576</v>
      </c>
      <c r="BG321" s="6" t="s">
        <v>26</v>
      </c>
      <c r="BH321" s="6">
        <v>3174</v>
      </c>
      <c r="BI321" s="6">
        <v>-8.05150095521079e-5</v>
      </c>
      <c r="BJ321" s="6">
        <v>-0.000145699448736849</v>
      </c>
      <c r="BK321" s="6">
        <v>2.63145165917315</v>
      </c>
      <c r="BL321" s="18"/>
      <c r="BM321" s="4">
        <f t="shared" si="10"/>
        <v>541.08</v>
      </c>
      <c r="BN321" s="15">
        <f t="shared" si="11"/>
        <v>106.08</v>
      </c>
      <c r="BO321" s="6"/>
      <c r="BP321" s="6" t="s">
        <v>24</v>
      </c>
      <c r="BQ321" s="6">
        <v>435</v>
      </c>
      <c r="BR321" s="6" t="s">
        <v>24</v>
      </c>
      <c r="BS321" s="6">
        <v>340</v>
      </c>
      <c r="BT321" s="6" t="s">
        <v>25</v>
      </c>
      <c r="BU321" s="6">
        <v>741</v>
      </c>
      <c r="BV321" s="6" t="s">
        <v>26</v>
      </c>
      <c r="BW321" s="6">
        <v>4164</v>
      </c>
      <c r="BX321" s="6">
        <v>-1.24962259657112e-6</v>
      </c>
      <c r="BY321" s="6">
        <v>-2.36834121947124e-6</v>
      </c>
      <c r="BZ321" s="6">
        <v>1.73597404854542</v>
      </c>
    </row>
    <row r="322" spans="1:78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8"/>
      <c r="AZ322" s="18"/>
      <c r="BA322" s="6" t="s">
        <v>24</v>
      </c>
      <c r="BB322" s="6">
        <v>435</v>
      </c>
      <c r="BC322" s="6" t="s">
        <v>24</v>
      </c>
      <c r="BD322" s="6">
        <v>340</v>
      </c>
      <c r="BE322" s="6" t="s">
        <v>25</v>
      </c>
      <c r="BF322" s="6">
        <v>625</v>
      </c>
      <c r="BG322" s="6" t="s">
        <v>26</v>
      </c>
      <c r="BH322" s="6">
        <v>3456</v>
      </c>
      <c r="BI322" s="6">
        <v>-1.64606544736359e-5</v>
      </c>
      <c r="BJ322" s="6">
        <v>-2.45921329912565e-5</v>
      </c>
      <c r="BK322" s="6">
        <v>2.23723237742227</v>
      </c>
      <c r="BL322" s="18"/>
      <c r="BM322" s="4">
        <f t="shared" si="10"/>
        <v>588.12</v>
      </c>
      <c r="BN322" s="15">
        <f t="shared" si="11"/>
        <v>153.12</v>
      </c>
      <c r="BO322" s="6"/>
      <c r="BP322" s="6" t="s">
        <v>24</v>
      </c>
      <c r="BQ322" s="6">
        <v>435</v>
      </c>
      <c r="BR322" s="6" t="s">
        <v>24</v>
      </c>
      <c r="BS322" s="6">
        <v>340</v>
      </c>
      <c r="BT322" s="6" t="s">
        <v>25</v>
      </c>
      <c r="BU322" s="6">
        <v>797</v>
      </c>
      <c r="BV322" s="6" t="s">
        <v>26</v>
      </c>
      <c r="BW322" s="6">
        <v>4488</v>
      </c>
      <c r="BX322" s="6">
        <v>-2.56027122275403e-6</v>
      </c>
      <c r="BY322" s="6">
        <v>-2.80840780763373e-6</v>
      </c>
      <c r="BZ322" s="6">
        <v>1.69718487151638</v>
      </c>
    </row>
    <row r="323" spans="1:78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6" t="s">
        <v>24</v>
      </c>
      <c r="BB323" s="6">
        <v>435</v>
      </c>
      <c r="BC323" s="6" t="s">
        <v>24</v>
      </c>
      <c r="BD323" s="6">
        <v>340</v>
      </c>
      <c r="BE323" s="6" t="s">
        <v>25</v>
      </c>
      <c r="BF323" s="6">
        <v>676</v>
      </c>
      <c r="BG323" s="6" t="s">
        <v>26</v>
      </c>
      <c r="BH323" s="6">
        <v>3750</v>
      </c>
      <c r="BI323" s="6">
        <v>-1.01863757804057e-5</v>
      </c>
      <c r="BJ323" s="6">
        <v>-1.13015686877206e-5</v>
      </c>
      <c r="BK323" s="6">
        <v>2.0229126288675</v>
      </c>
      <c r="BL323" s="18"/>
      <c r="BM323" s="4">
        <f t="shared" si="10"/>
        <v>637.12</v>
      </c>
      <c r="BN323" s="15">
        <f t="shared" si="11"/>
        <v>202.12</v>
      </c>
      <c r="BO323" s="6"/>
      <c r="BP323" s="6" t="s">
        <v>24</v>
      </c>
      <c r="BQ323" s="6">
        <v>435</v>
      </c>
      <c r="BR323" s="6" t="s">
        <v>24</v>
      </c>
      <c r="BS323" s="6">
        <v>340</v>
      </c>
      <c r="BT323" s="6" t="s">
        <v>25</v>
      </c>
      <c r="BU323" s="6">
        <v>861</v>
      </c>
      <c r="BV323" s="6" t="s">
        <v>26</v>
      </c>
      <c r="BW323" s="6">
        <v>4860</v>
      </c>
      <c r="BX323" s="6">
        <v>-1.47883616907033e-6</v>
      </c>
      <c r="BY323" s="6">
        <v>-1.69903216771376e-6</v>
      </c>
      <c r="BZ323" s="6">
        <v>1.60261401647895</v>
      </c>
    </row>
    <row r="324" spans="1:78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18"/>
      <c r="AZ324" s="18"/>
      <c r="BA324" s="6" t="s">
        <v>24</v>
      </c>
      <c r="BB324" s="6">
        <v>435</v>
      </c>
      <c r="BC324" s="6" t="s">
        <v>24</v>
      </c>
      <c r="BD324" s="6">
        <v>340</v>
      </c>
      <c r="BE324" s="6" t="s">
        <v>25</v>
      </c>
      <c r="BF324" s="6">
        <v>729</v>
      </c>
      <c r="BG324" s="6" t="s">
        <v>26</v>
      </c>
      <c r="BH324" s="6">
        <v>4056</v>
      </c>
      <c r="BI324" s="6">
        <v>-6.00326208042335e-6</v>
      </c>
      <c r="BJ324" s="6">
        <v>-6.72416020355965e-6</v>
      </c>
      <c r="BK324" s="6">
        <v>1.90293348443373</v>
      </c>
      <c r="BL324" s="18"/>
      <c r="BM324" s="4">
        <f t="shared" si="10"/>
        <v>688.08</v>
      </c>
      <c r="BN324" s="15">
        <f t="shared" si="11"/>
        <v>253.08</v>
      </c>
      <c r="BO324" s="6"/>
      <c r="BP324" s="6" t="s">
        <v>24</v>
      </c>
      <c r="BQ324" s="6">
        <v>435</v>
      </c>
      <c r="BR324" s="6" t="s">
        <v>24</v>
      </c>
      <c r="BS324" s="6">
        <v>340</v>
      </c>
      <c r="BT324" s="6" t="s">
        <v>25</v>
      </c>
      <c r="BU324" s="6">
        <v>927</v>
      </c>
      <c r="BV324" s="6" t="s">
        <v>26</v>
      </c>
      <c r="BW324" s="6">
        <v>5244</v>
      </c>
      <c r="BX324" s="6">
        <v>-1.23227255945587e-6</v>
      </c>
      <c r="BY324" s="6">
        <v>-1.3940262133101e-6</v>
      </c>
      <c r="BZ324" s="6">
        <v>1.55513334083732</v>
      </c>
    </row>
    <row r="325" spans="1:78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18"/>
      <c r="AZ325" s="18"/>
      <c r="BA325" s="6" t="s">
        <v>24</v>
      </c>
      <c r="BB325" s="6">
        <v>435</v>
      </c>
      <c r="BC325" s="6" t="s">
        <v>24</v>
      </c>
      <c r="BD325" s="6">
        <v>340</v>
      </c>
      <c r="BE325" s="6" t="s">
        <v>25</v>
      </c>
      <c r="BF325" s="6">
        <v>784</v>
      </c>
      <c r="BG325" s="6" t="s">
        <v>26</v>
      </c>
      <c r="BH325" s="6">
        <v>4374</v>
      </c>
      <c r="BI325" s="6">
        <v>-4.21850528177136e-6</v>
      </c>
      <c r="BJ325" s="6">
        <v>-4.55781599295728e-6</v>
      </c>
      <c r="BK325" s="6">
        <v>1.81070607890281</v>
      </c>
      <c r="BL325" s="18"/>
      <c r="BM325" s="4">
        <f t="shared" si="10"/>
        <v>744.855</v>
      </c>
      <c r="BN325" s="15">
        <f t="shared" si="11"/>
        <v>309.855</v>
      </c>
      <c r="BO325" s="6"/>
      <c r="BP325" s="6" t="s">
        <v>24</v>
      </c>
      <c r="BQ325" s="6">
        <v>435</v>
      </c>
      <c r="BR325" s="6" t="s">
        <v>24</v>
      </c>
      <c r="BS325" s="6">
        <v>340</v>
      </c>
      <c r="BT325" s="6" t="s">
        <v>25</v>
      </c>
      <c r="BU325" s="6">
        <v>977</v>
      </c>
      <c r="BV325" s="6" t="s">
        <v>26</v>
      </c>
      <c r="BW325" s="6">
        <v>5532</v>
      </c>
      <c r="BX325" s="6">
        <v>-8.61515944151939e-7</v>
      </c>
      <c r="BY325" s="6">
        <v>-1.05589821364339e-6</v>
      </c>
      <c r="BZ325" s="6">
        <v>1.50994487019255</v>
      </c>
    </row>
    <row r="326" spans="1:78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18"/>
      <c r="AZ326" s="18"/>
      <c r="BA326" s="6" t="s">
        <v>24</v>
      </c>
      <c r="BB326" s="6">
        <v>435</v>
      </c>
      <c r="BC326" s="6" t="s">
        <v>24</v>
      </c>
      <c r="BD326" s="6">
        <v>340</v>
      </c>
      <c r="BE326" s="6" t="s">
        <v>25</v>
      </c>
      <c r="BF326" s="6">
        <v>841</v>
      </c>
      <c r="BG326" s="6" t="s">
        <v>26</v>
      </c>
      <c r="BH326" s="6">
        <v>4704</v>
      </c>
      <c r="BI326" s="6">
        <v>-3.24128673229481e-6</v>
      </c>
      <c r="BJ326" s="6">
        <v>-3.52449677824812e-6</v>
      </c>
      <c r="BK326" s="6">
        <v>1.75772445935554</v>
      </c>
      <c r="BL326" s="18"/>
      <c r="BM326" s="4">
        <f t="shared" si="10"/>
        <v>799.875</v>
      </c>
      <c r="BN326" s="15">
        <f t="shared" si="11"/>
        <v>364.875</v>
      </c>
      <c r="BO326" s="6"/>
      <c r="BP326" s="6" t="s">
        <v>24</v>
      </c>
      <c r="BQ326" s="6">
        <v>435</v>
      </c>
      <c r="BR326" s="6" t="s">
        <v>24</v>
      </c>
      <c r="BS326" s="6">
        <v>340</v>
      </c>
      <c r="BT326" s="6" t="s">
        <v>25</v>
      </c>
      <c r="BU326" s="6">
        <v>1034</v>
      </c>
      <c r="BV326" s="6" t="s">
        <v>26</v>
      </c>
      <c r="BW326" s="6">
        <v>5862</v>
      </c>
      <c r="BX326" s="6">
        <v>-1.44249508868561e-6</v>
      </c>
      <c r="BY326" s="6">
        <v>-1.38929584757707e-6</v>
      </c>
      <c r="BZ326" s="6">
        <v>1.51553921768915</v>
      </c>
    </row>
    <row r="327" spans="1:78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18"/>
      <c r="AZ327" s="18"/>
      <c r="BA327" s="6" t="s">
        <v>24</v>
      </c>
      <c r="BB327" s="6">
        <v>435</v>
      </c>
      <c r="BC327" s="6" t="s">
        <v>24</v>
      </c>
      <c r="BD327" s="6">
        <v>340</v>
      </c>
      <c r="BE327" s="6" t="s">
        <v>25</v>
      </c>
      <c r="BF327" s="6">
        <v>900</v>
      </c>
      <c r="BG327" s="6" t="s">
        <v>26</v>
      </c>
      <c r="BH327" s="6">
        <v>5046</v>
      </c>
      <c r="BI327" s="6">
        <v>-2.59768546416766e-6</v>
      </c>
      <c r="BJ327" s="6">
        <v>-2.67003169673061e-6</v>
      </c>
      <c r="BK327" s="6">
        <v>1.68371870718673</v>
      </c>
      <c r="BL327" s="18"/>
      <c r="BM327" s="4">
        <f t="shared" si="10"/>
        <v>856.855</v>
      </c>
      <c r="BN327" s="15">
        <f t="shared" si="11"/>
        <v>421.855</v>
      </c>
      <c r="BO327" s="6"/>
      <c r="BP327" s="6" t="s">
        <v>24</v>
      </c>
      <c r="BQ327" s="6">
        <v>435</v>
      </c>
      <c r="BR327" s="6" t="s">
        <v>24</v>
      </c>
      <c r="BS327" s="6">
        <v>340</v>
      </c>
      <c r="BT327" s="6" t="s">
        <v>25</v>
      </c>
      <c r="BU327" s="6">
        <v>1085</v>
      </c>
      <c r="BV327" s="6" t="s">
        <v>26</v>
      </c>
      <c r="BW327" s="6">
        <v>6156</v>
      </c>
      <c r="BX327" s="6">
        <v>-1.50057349086241e-6</v>
      </c>
      <c r="BY327" s="6">
        <v>-1.39978289254621e-6</v>
      </c>
      <c r="BZ327" s="6">
        <v>1.51156970422162</v>
      </c>
    </row>
    <row r="328" spans="1:7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18"/>
      <c r="AZ328" s="18"/>
      <c r="BA328" s="6" t="s">
        <v>24</v>
      </c>
      <c r="BB328" s="6">
        <v>435</v>
      </c>
      <c r="BC328" s="6" t="s">
        <v>24</v>
      </c>
      <c r="BD328" s="6">
        <v>340</v>
      </c>
      <c r="BE328" s="6" t="s">
        <v>25</v>
      </c>
      <c r="BF328" s="6">
        <v>961</v>
      </c>
      <c r="BG328" s="6" t="s">
        <v>26</v>
      </c>
      <c r="BH328" s="6">
        <v>5400</v>
      </c>
      <c r="BI328" s="6">
        <v>-1.96723978817645e-6</v>
      </c>
      <c r="BJ328" s="6">
        <v>-2.19236205507998e-6</v>
      </c>
      <c r="BK328" s="6">
        <v>1.65627864786376</v>
      </c>
      <c r="BL328" s="18"/>
      <c r="BM328" s="4">
        <f t="shared" si="10"/>
        <v>915.795</v>
      </c>
      <c r="BN328" s="15">
        <f t="shared" si="11"/>
        <v>480.795</v>
      </c>
      <c r="BO328" s="6"/>
      <c r="BP328" s="6" t="s">
        <v>24</v>
      </c>
      <c r="BQ328" s="6">
        <v>435</v>
      </c>
      <c r="BR328" s="6" t="s">
        <v>24</v>
      </c>
      <c r="BS328" s="6">
        <v>340</v>
      </c>
      <c r="BT328" s="6" t="s">
        <v>25</v>
      </c>
      <c r="BU328" s="6">
        <v>1177</v>
      </c>
      <c r="BV328" s="6" t="s">
        <v>26</v>
      </c>
      <c r="BW328" s="6">
        <v>6696</v>
      </c>
      <c r="BX328" s="6">
        <v>-9.25494836084426e-7</v>
      </c>
      <c r="BY328" s="6">
        <v>-9.5999638638478e-7</v>
      </c>
      <c r="BZ328" s="6">
        <v>1.45418366242577</v>
      </c>
    </row>
    <row r="329" spans="1:78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18"/>
      <c r="AZ329" s="18"/>
      <c r="BA329" s="6" t="s">
        <v>24</v>
      </c>
      <c r="BB329" s="6">
        <v>435</v>
      </c>
      <c r="BC329" s="6" t="s">
        <v>24</v>
      </c>
      <c r="BD329" s="6">
        <v>340</v>
      </c>
      <c r="BE329" s="6" t="s">
        <v>25</v>
      </c>
      <c r="BF329" s="6">
        <v>1024</v>
      </c>
      <c r="BG329" s="6" t="s">
        <v>26</v>
      </c>
      <c r="BH329" s="6">
        <v>5766</v>
      </c>
      <c r="BI329" s="6">
        <v>-1.25133565272852e-6</v>
      </c>
      <c r="BJ329" s="6">
        <v>-1.50544741050256e-6</v>
      </c>
      <c r="BK329" s="6">
        <v>1.59203572757061</v>
      </c>
      <c r="BL329" s="18"/>
      <c r="BM329" s="4">
        <f t="shared" si="10"/>
        <v>976.695</v>
      </c>
      <c r="BN329" s="15">
        <f t="shared" si="11"/>
        <v>541.695</v>
      </c>
      <c r="BO329" s="6"/>
      <c r="BP329" s="6" t="s">
        <v>24</v>
      </c>
      <c r="BQ329" s="6">
        <v>435</v>
      </c>
      <c r="BR329" s="6" t="s">
        <v>24</v>
      </c>
      <c r="BS329" s="6">
        <v>340</v>
      </c>
      <c r="BT329" s="6" t="s">
        <v>25</v>
      </c>
      <c r="BU329" s="6">
        <v>1243</v>
      </c>
      <c r="BV329" s="6" t="s">
        <v>26</v>
      </c>
      <c r="BW329" s="6">
        <v>7080</v>
      </c>
      <c r="BX329" s="6">
        <v>-9.15260104771763e-7</v>
      </c>
      <c r="BY329" s="6">
        <v>-9.30125022310361e-7</v>
      </c>
      <c r="BZ329" s="6">
        <v>1.44524187279189</v>
      </c>
    </row>
    <row r="330" spans="1:78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18"/>
      <c r="AZ330" s="18"/>
      <c r="BA330" s="6" t="s">
        <v>24</v>
      </c>
      <c r="BB330" s="6">
        <v>435</v>
      </c>
      <c r="BC330" s="6" t="s">
        <v>24</v>
      </c>
      <c r="BD330" s="6">
        <v>340</v>
      </c>
      <c r="BE330" s="6" t="s">
        <v>25</v>
      </c>
      <c r="BF330" s="6">
        <v>1089</v>
      </c>
      <c r="BG330" s="6" t="s">
        <v>26</v>
      </c>
      <c r="BH330" s="6">
        <v>6144</v>
      </c>
      <c r="BI330" s="6">
        <v>-1.46051359074398e-6</v>
      </c>
      <c r="BJ330" s="6">
        <v>-1.6009843390037e-6</v>
      </c>
      <c r="BK330" s="6">
        <v>1.58539001049242</v>
      </c>
      <c r="BL330" s="18"/>
      <c r="BM330" s="4">
        <f t="shared" si="10"/>
        <v>1039.555</v>
      </c>
      <c r="BN330" s="15">
        <f t="shared" si="11"/>
        <v>604.555</v>
      </c>
      <c r="BO330" s="6"/>
      <c r="BP330" s="6" t="s">
        <v>24</v>
      </c>
      <c r="BQ330" s="6">
        <v>435</v>
      </c>
      <c r="BR330" s="6" t="s">
        <v>24</v>
      </c>
      <c r="BS330" s="6">
        <v>340</v>
      </c>
      <c r="BT330" s="6" t="s">
        <v>25</v>
      </c>
      <c r="BU330" s="6">
        <v>1325</v>
      </c>
      <c r="BV330" s="6" t="s">
        <v>26</v>
      </c>
      <c r="BW330" s="6">
        <v>7560</v>
      </c>
      <c r="BX330" s="6">
        <v>-7.82005977204715e-7</v>
      </c>
      <c r="BY330" s="6">
        <v>-7.90671626540589e-7</v>
      </c>
      <c r="BZ330" s="6">
        <v>1.40608827718894</v>
      </c>
    </row>
    <row r="331" spans="1:78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18"/>
      <c r="AZ331" s="18"/>
      <c r="BA331" s="10" t="s">
        <v>39</v>
      </c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8"/>
      <c r="BM331" s="4"/>
      <c r="BN331" s="15"/>
      <c r="BO331" s="6"/>
      <c r="BP331" s="10" t="s">
        <v>39</v>
      </c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</row>
    <row r="332" ht="23.25" spans="1:78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18"/>
      <c r="AZ332" s="18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8"/>
      <c r="BM332" s="4"/>
      <c r="BN332" s="15"/>
      <c r="BO332" s="3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</row>
    <row r="333" ht="23.25" spans="1:78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18"/>
      <c r="AZ333" s="18"/>
      <c r="BA333" s="6" t="s">
        <v>12</v>
      </c>
      <c r="BB333" s="6" t="s">
        <v>13</v>
      </c>
      <c r="BC333" s="6" t="s">
        <v>14</v>
      </c>
      <c r="BD333" s="6" t="s">
        <v>15</v>
      </c>
      <c r="BE333" s="6" t="s">
        <v>16</v>
      </c>
      <c r="BF333" s="6" t="s">
        <v>17</v>
      </c>
      <c r="BG333" s="6" t="s">
        <v>18</v>
      </c>
      <c r="BH333" s="6" t="s">
        <v>19</v>
      </c>
      <c r="BI333" s="6" t="s">
        <v>20</v>
      </c>
      <c r="BJ333" s="6" t="s">
        <v>21</v>
      </c>
      <c r="BK333" s="6" t="s">
        <v>22</v>
      </c>
      <c r="BL333" s="18"/>
      <c r="BM333" s="4"/>
      <c r="BN333" s="15"/>
      <c r="BO333" s="3"/>
      <c r="BP333" s="6" t="s">
        <v>12</v>
      </c>
      <c r="BQ333" s="6" t="s">
        <v>13</v>
      </c>
      <c r="BR333" s="6" t="s">
        <v>14</v>
      </c>
      <c r="BS333" s="6" t="s">
        <v>15</v>
      </c>
      <c r="BT333" s="6" t="s">
        <v>16</v>
      </c>
      <c r="BU333" s="6" t="s">
        <v>17</v>
      </c>
      <c r="BV333" s="6" t="s">
        <v>18</v>
      </c>
      <c r="BW333" s="6" t="s">
        <v>19</v>
      </c>
      <c r="BX333" s="6" t="s">
        <v>20</v>
      </c>
      <c r="BY333" s="6" t="s">
        <v>21</v>
      </c>
      <c r="BZ333" s="6" t="s">
        <v>22</v>
      </c>
    </row>
    <row r="334" spans="1:78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18"/>
      <c r="AZ334" s="18"/>
      <c r="BA334" s="6" t="s">
        <v>24</v>
      </c>
      <c r="BB334" s="6">
        <v>485</v>
      </c>
      <c r="BC334" s="6" t="s">
        <v>24</v>
      </c>
      <c r="BD334" s="6">
        <v>340</v>
      </c>
      <c r="BE334" s="6" t="s">
        <v>25</v>
      </c>
      <c r="BF334" s="6">
        <v>400</v>
      </c>
      <c r="BG334" s="6" t="s">
        <v>26</v>
      </c>
      <c r="BH334" s="6">
        <v>2166</v>
      </c>
      <c r="BI334" s="6">
        <v>-2.03439593145038</v>
      </c>
      <c r="BJ334" s="6">
        <v>-1.76035574005364</v>
      </c>
      <c r="BK334" s="6">
        <v>0.152044617318805</v>
      </c>
      <c r="BL334" s="18"/>
      <c r="BM334" s="4">
        <f t="shared" ref="BM334:BM405" si="12">(FLOOR(((SQRT(1+8*BF334)-3))/2,0.1)*(FLOOR(((SQRT(1+8*BF334)-3))/2,0.1)+1))/2</f>
        <v>369.795</v>
      </c>
      <c r="BN334" s="15">
        <f t="shared" si="11"/>
        <v>115.205</v>
      </c>
      <c r="BO334" s="4"/>
      <c r="BP334" s="6" t="s">
        <v>24</v>
      </c>
      <c r="BQ334" s="6">
        <v>485</v>
      </c>
      <c r="BR334" s="6" t="s">
        <v>24</v>
      </c>
      <c r="BS334" s="6">
        <v>340</v>
      </c>
      <c r="BT334" s="6" t="s">
        <v>25</v>
      </c>
      <c r="BU334" s="6">
        <v>485</v>
      </c>
      <c r="BV334" s="6" t="s">
        <v>26</v>
      </c>
      <c r="BW334" s="6">
        <v>2676</v>
      </c>
      <c r="BX334" s="6">
        <v>-1.38403531843694</v>
      </c>
      <c r="BY334" s="6">
        <v>-1.19911881020831</v>
      </c>
      <c r="BZ334" s="6">
        <v>1.15805494732829</v>
      </c>
    </row>
    <row r="335" spans="1:78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18"/>
      <c r="AZ335" s="18"/>
      <c r="BA335" s="6" t="s">
        <v>24</v>
      </c>
      <c r="BB335" s="6">
        <v>485</v>
      </c>
      <c r="BC335" s="6" t="s">
        <v>24</v>
      </c>
      <c r="BD335" s="6">
        <v>340</v>
      </c>
      <c r="BE335" s="6" t="s">
        <v>25</v>
      </c>
      <c r="BF335" s="6">
        <v>441</v>
      </c>
      <c r="BG335" s="6" t="s">
        <v>26</v>
      </c>
      <c r="BH335" s="6">
        <v>2400</v>
      </c>
      <c r="BI335" s="6">
        <v>-1.66607266600773</v>
      </c>
      <c r="BJ335" s="6">
        <v>-1.41994475432948</v>
      </c>
      <c r="BK335" s="6">
        <v>0.510412561492901</v>
      </c>
      <c r="BL335" s="18"/>
      <c r="BM335" s="4">
        <f t="shared" si="12"/>
        <v>411.72</v>
      </c>
      <c r="BN335" s="15">
        <f t="shared" si="11"/>
        <v>73.2799999999999</v>
      </c>
      <c r="BO335" s="6"/>
      <c r="BP335" s="6" t="s">
        <v>24</v>
      </c>
      <c r="BQ335" s="6">
        <v>485</v>
      </c>
      <c r="BR335" s="6" t="s">
        <v>24</v>
      </c>
      <c r="BS335" s="6">
        <v>340</v>
      </c>
      <c r="BT335" s="6" t="s">
        <v>25</v>
      </c>
      <c r="BU335" s="6">
        <v>564</v>
      </c>
      <c r="BV335" s="6" t="s">
        <v>26</v>
      </c>
      <c r="BW335" s="6">
        <v>3138</v>
      </c>
      <c r="BX335" s="6">
        <v>-0.0129286692660292</v>
      </c>
      <c r="BY335" s="6">
        <v>-0.012576486694413</v>
      </c>
      <c r="BZ335" s="6">
        <v>2.85528948091838</v>
      </c>
    </row>
    <row r="336" spans="1:78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18"/>
      <c r="AZ336" s="18"/>
      <c r="BA336" s="6" t="s">
        <v>24</v>
      </c>
      <c r="BB336" s="6">
        <v>485</v>
      </c>
      <c r="BC336" s="6" t="s">
        <v>24</v>
      </c>
      <c r="BD336" s="6">
        <v>340</v>
      </c>
      <c r="BE336" s="6" t="s">
        <v>25</v>
      </c>
      <c r="BF336" s="6">
        <v>484</v>
      </c>
      <c r="BG336" s="6" t="s">
        <v>26</v>
      </c>
      <c r="BH336" s="6">
        <v>2646</v>
      </c>
      <c r="BI336" s="6">
        <v>-1.08524646553638</v>
      </c>
      <c r="BJ336" s="6">
        <v>-0.96498739174492</v>
      </c>
      <c r="BK336" s="6">
        <v>1.26712938780026</v>
      </c>
      <c r="BL336" s="18"/>
      <c r="BM336" s="4">
        <f t="shared" si="12"/>
        <v>452.88</v>
      </c>
      <c r="BN336" s="15">
        <f t="shared" si="11"/>
        <v>32.1199999999999</v>
      </c>
      <c r="BO336" s="6"/>
      <c r="BP336" s="6" t="s">
        <v>24</v>
      </c>
      <c r="BQ336" s="6">
        <v>485</v>
      </c>
      <c r="BR336" s="6" t="s">
        <v>24</v>
      </c>
      <c r="BS336" s="6">
        <v>340</v>
      </c>
      <c r="BT336" s="6" t="s">
        <v>25</v>
      </c>
      <c r="BU336" s="6">
        <v>598</v>
      </c>
      <c r="BV336" s="6" t="s">
        <v>26</v>
      </c>
      <c r="BW336" s="6">
        <v>3330</v>
      </c>
      <c r="BX336" s="6">
        <v>3.90586346701469e-5</v>
      </c>
      <c r="BY336" s="6">
        <v>-7.74055963286758e-5</v>
      </c>
      <c r="BZ336" s="6">
        <v>2.5868497998584</v>
      </c>
    </row>
    <row r="337" spans="1:78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18"/>
      <c r="AZ337" s="18"/>
      <c r="BA337" s="11" t="s">
        <v>24</v>
      </c>
      <c r="BB337" s="11">
        <v>485</v>
      </c>
      <c r="BC337" s="11" t="s">
        <v>24</v>
      </c>
      <c r="BD337" s="11">
        <v>340</v>
      </c>
      <c r="BE337" s="11" t="s">
        <v>25</v>
      </c>
      <c r="BF337" s="11">
        <v>529</v>
      </c>
      <c r="BG337" s="11" t="s">
        <v>26</v>
      </c>
      <c r="BH337" s="11">
        <v>2904</v>
      </c>
      <c r="BI337" s="11">
        <v>-0.379679856848861</v>
      </c>
      <c r="BJ337" s="11">
        <v>-0.341026633823966</v>
      </c>
      <c r="BK337" s="11">
        <v>2.15636038139003</v>
      </c>
      <c r="BL337" s="20"/>
      <c r="BM337" s="12">
        <f t="shared" si="12"/>
        <v>496</v>
      </c>
      <c r="BN337" s="15">
        <f t="shared" si="11"/>
        <v>11</v>
      </c>
      <c r="BO337" s="6"/>
      <c r="BP337" s="6" t="s">
        <v>24</v>
      </c>
      <c r="BQ337" s="6">
        <v>485</v>
      </c>
      <c r="BR337" s="6" t="s">
        <v>24</v>
      </c>
      <c r="BS337" s="6">
        <v>340</v>
      </c>
      <c r="BT337" s="6" t="s">
        <v>25</v>
      </c>
      <c r="BU337" s="6">
        <v>668</v>
      </c>
      <c r="BV337" s="6" t="s">
        <v>26</v>
      </c>
      <c r="BW337" s="6">
        <v>3738</v>
      </c>
      <c r="BX337" s="6">
        <v>-8.87408341823104e-6</v>
      </c>
      <c r="BY337" s="6">
        <v>-1.12215029246414e-5</v>
      </c>
      <c r="BZ337" s="6">
        <v>2.01983266176486</v>
      </c>
    </row>
    <row r="338" spans="1:7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18"/>
      <c r="AZ338" s="18"/>
      <c r="BA338" s="6" t="s">
        <v>24</v>
      </c>
      <c r="BB338" s="6">
        <v>485</v>
      </c>
      <c r="BC338" s="6" t="s">
        <v>24</v>
      </c>
      <c r="BD338" s="6">
        <v>340</v>
      </c>
      <c r="BE338" s="6" t="s">
        <v>25</v>
      </c>
      <c r="BF338" s="6">
        <v>576</v>
      </c>
      <c r="BG338" s="6" t="s">
        <v>26</v>
      </c>
      <c r="BH338" s="6">
        <v>3174</v>
      </c>
      <c r="BI338" s="6">
        <v>-0.0037265965757047</v>
      </c>
      <c r="BJ338" s="6">
        <v>-0.00544758729454442</v>
      </c>
      <c r="BK338" s="6">
        <v>2.85081660086082</v>
      </c>
      <c r="BL338" s="18"/>
      <c r="BM338" s="4">
        <f t="shared" si="12"/>
        <v>541.08</v>
      </c>
      <c r="BN338" s="15">
        <f t="shared" si="11"/>
        <v>56.0799999999999</v>
      </c>
      <c r="BO338" s="6"/>
      <c r="BP338" s="6" t="s">
        <v>24</v>
      </c>
      <c r="BQ338" s="6">
        <v>485</v>
      </c>
      <c r="BR338" s="6" t="s">
        <v>24</v>
      </c>
      <c r="BS338" s="6">
        <v>340</v>
      </c>
      <c r="BT338" s="6" t="s">
        <v>25</v>
      </c>
      <c r="BU338" s="6">
        <v>741</v>
      </c>
      <c r="BV338" s="6" t="s">
        <v>26</v>
      </c>
      <c r="BW338" s="6">
        <v>4164</v>
      </c>
      <c r="BX338" s="6">
        <v>-4.00152841431321e-6</v>
      </c>
      <c r="BY338" s="6">
        <v>-5.14058198136763e-6</v>
      </c>
      <c r="BZ338" s="6">
        <v>1.85407410626942</v>
      </c>
    </row>
    <row r="339" spans="1:78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18"/>
      <c r="AZ339" s="18"/>
      <c r="BA339" s="6" t="s">
        <v>24</v>
      </c>
      <c r="BB339" s="6">
        <v>485</v>
      </c>
      <c r="BC339" s="6" t="s">
        <v>24</v>
      </c>
      <c r="BD339" s="6">
        <v>340</v>
      </c>
      <c r="BE339" s="6" t="s">
        <v>25</v>
      </c>
      <c r="BF339" s="6">
        <v>625</v>
      </c>
      <c r="BG339" s="6" t="s">
        <v>26</v>
      </c>
      <c r="BH339" s="6">
        <v>3456</v>
      </c>
      <c r="BI339" s="6">
        <v>-8.96420266019624e-6</v>
      </c>
      <c r="BJ339" s="6">
        <v>-3.70008780619458e-5</v>
      </c>
      <c r="BK339" s="6">
        <v>2.38773367242947</v>
      </c>
      <c r="BL339" s="18"/>
      <c r="BM339" s="4">
        <f t="shared" si="12"/>
        <v>588.12</v>
      </c>
      <c r="BN339" s="15">
        <f t="shared" si="11"/>
        <v>103.12</v>
      </c>
      <c r="BO339" s="6"/>
      <c r="BP339" s="6" t="s">
        <v>24</v>
      </c>
      <c r="BQ339" s="6">
        <v>485</v>
      </c>
      <c r="BR339" s="6" t="s">
        <v>24</v>
      </c>
      <c r="BS339" s="6">
        <v>340</v>
      </c>
      <c r="BT339" s="6" t="s">
        <v>25</v>
      </c>
      <c r="BU339" s="6">
        <v>797</v>
      </c>
      <c r="BV339" s="6" t="s">
        <v>26</v>
      </c>
      <c r="BW339" s="6">
        <v>4488</v>
      </c>
      <c r="BX339" s="6">
        <v>-4.22626400837007e-6</v>
      </c>
      <c r="BY339" s="6">
        <v>-4.36328215231201e-6</v>
      </c>
      <c r="BZ339" s="6">
        <v>1.77316058016397</v>
      </c>
    </row>
    <row r="340" spans="1:78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8"/>
      <c r="AZ340" s="18"/>
      <c r="BA340" s="6" t="s">
        <v>24</v>
      </c>
      <c r="BB340" s="6">
        <v>485</v>
      </c>
      <c r="BC340" s="6" t="s">
        <v>24</v>
      </c>
      <c r="BD340" s="6">
        <v>340</v>
      </c>
      <c r="BE340" s="6" t="s">
        <v>25</v>
      </c>
      <c r="BF340" s="6">
        <v>676</v>
      </c>
      <c r="BG340" s="6" t="s">
        <v>26</v>
      </c>
      <c r="BH340" s="6">
        <v>3750</v>
      </c>
      <c r="BI340" s="6">
        <v>-1.64304396999218e-5</v>
      </c>
      <c r="BJ340" s="6">
        <v>-1.83751162673341e-5</v>
      </c>
      <c r="BK340" s="6">
        <v>2.11797644299126</v>
      </c>
      <c r="BL340" s="18"/>
      <c r="BM340" s="4">
        <f t="shared" si="12"/>
        <v>637.12</v>
      </c>
      <c r="BN340" s="15">
        <f t="shared" si="11"/>
        <v>152.12</v>
      </c>
      <c r="BO340" s="6"/>
      <c r="BP340" s="6" t="s">
        <v>24</v>
      </c>
      <c r="BQ340" s="6">
        <v>485</v>
      </c>
      <c r="BR340" s="6" t="s">
        <v>24</v>
      </c>
      <c r="BS340" s="6">
        <v>340</v>
      </c>
      <c r="BT340" s="6" t="s">
        <v>25</v>
      </c>
      <c r="BU340" s="6">
        <v>861</v>
      </c>
      <c r="BV340" s="6" t="s">
        <v>26</v>
      </c>
      <c r="BW340" s="6">
        <v>4860</v>
      </c>
      <c r="BX340" s="6">
        <v>-3.70924897552127e-6</v>
      </c>
      <c r="BY340" s="6">
        <v>-3.4213011252079e-6</v>
      </c>
      <c r="BZ340" s="6">
        <v>1.69106738396844</v>
      </c>
    </row>
    <row r="341" spans="1:78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8"/>
      <c r="AZ341" s="18"/>
      <c r="BA341" s="6" t="s">
        <v>24</v>
      </c>
      <c r="BB341" s="6">
        <v>485</v>
      </c>
      <c r="BC341" s="6" t="s">
        <v>24</v>
      </c>
      <c r="BD341" s="6">
        <v>340</v>
      </c>
      <c r="BE341" s="6" t="s">
        <v>25</v>
      </c>
      <c r="BF341" s="6">
        <v>729</v>
      </c>
      <c r="BG341" s="6" t="s">
        <v>26</v>
      </c>
      <c r="BH341" s="6">
        <v>4056</v>
      </c>
      <c r="BI341" s="6">
        <v>-1.10208772652563e-5</v>
      </c>
      <c r="BJ341" s="6">
        <v>-1.15305574067644e-5</v>
      </c>
      <c r="BK341" s="6">
        <v>2.00033633807713</v>
      </c>
      <c r="BL341" s="18"/>
      <c r="BM341" s="4">
        <f t="shared" si="12"/>
        <v>688.08</v>
      </c>
      <c r="BN341" s="15">
        <f t="shared" si="11"/>
        <v>203.08</v>
      </c>
      <c r="BO341" s="6"/>
      <c r="BP341" s="6" t="s">
        <v>24</v>
      </c>
      <c r="BQ341" s="6">
        <v>485</v>
      </c>
      <c r="BR341" s="6" t="s">
        <v>24</v>
      </c>
      <c r="BS341" s="6">
        <v>340</v>
      </c>
      <c r="BT341" s="6" t="s">
        <v>25</v>
      </c>
      <c r="BU341" s="6">
        <v>927</v>
      </c>
      <c r="BV341" s="6" t="s">
        <v>26</v>
      </c>
      <c r="BW341" s="6">
        <v>5244</v>
      </c>
      <c r="BX341" s="6">
        <v>-2.1303261574322e-6</v>
      </c>
      <c r="BY341" s="6">
        <v>-2.26522320921124e-6</v>
      </c>
      <c r="BZ341" s="6">
        <v>1.64061175929477</v>
      </c>
    </row>
    <row r="342" spans="1:78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6" t="s">
        <v>24</v>
      </c>
      <c r="BB342" s="6">
        <v>485</v>
      </c>
      <c r="BC342" s="6" t="s">
        <v>24</v>
      </c>
      <c r="BD342" s="6">
        <v>340</v>
      </c>
      <c r="BE342" s="6" t="s">
        <v>25</v>
      </c>
      <c r="BF342" s="6">
        <v>784</v>
      </c>
      <c r="BG342" s="6" t="s">
        <v>26</v>
      </c>
      <c r="BH342" s="6">
        <v>4374</v>
      </c>
      <c r="BI342" s="6">
        <v>-1.07787649301181e-5</v>
      </c>
      <c r="BJ342" s="6">
        <v>-1.01316999653049e-5</v>
      </c>
      <c r="BK342" s="6">
        <v>1.94095319419152</v>
      </c>
      <c r="BL342" s="18"/>
      <c r="BM342" s="4">
        <f t="shared" si="12"/>
        <v>744.855</v>
      </c>
      <c r="BN342" s="15">
        <f t="shared" si="11"/>
        <v>259.855</v>
      </c>
      <c r="BO342" s="6"/>
      <c r="BP342" s="6" t="s">
        <v>24</v>
      </c>
      <c r="BQ342" s="6">
        <v>485</v>
      </c>
      <c r="BR342" s="6" t="s">
        <v>24</v>
      </c>
      <c r="BS342" s="6">
        <v>340</v>
      </c>
      <c r="BT342" s="6" t="s">
        <v>25</v>
      </c>
      <c r="BU342" s="6">
        <v>977</v>
      </c>
      <c r="BV342" s="6" t="s">
        <v>26</v>
      </c>
      <c r="BW342" s="6">
        <v>5532</v>
      </c>
      <c r="BX342" s="6">
        <v>-2.09286267722271e-6</v>
      </c>
      <c r="BY342" s="6">
        <v>-2.04380141817549e-6</v>
      </c>
      <c r="BZ342" s="6">
        <v>1.59698575868867</v>
      </c>
    </row>
    <row r="343" spans="1:78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18"/>
      <c r="AZ343" s="18"/>
      <c r="BA343" s="6" t="s">
        <v>24</v>
      </c>
      <c r="BB343" s="6">
        <v>485</v>
      </c>
      <c r="BC343" s="6" t="s">
        <v>24</v>
      </c>
      <c r="BD343" s="6">
        <v>340</v>
      </c>
      <c r="BE343" s="6" t="s">
        <v>25</v>
      </c>
      <c r="BF343" s="6">
        <v>841</v>
      </c>
      <c r="BG343" s="6" t="s">
        <v>26</v>
      </c>
      <c r="BH343" s="6">
        <v>4704</v>
      </c>
      <c r="BI343" s="6">
        <v>-5.47008622817738e-6</v>
      </c>
      <c r="BJ343" s="6">
        <v>-5.60551843709712e-6</v>
      </c>
      <c r="BK343" s="6">
        <v>1.836610887114</v>
      </c>
      <c r="BL343" s="18"/>
      <c r="BM343" s="4">
        <f t="shared" si="12"/>
        <v>799.875</v>
      </c>
      <c r="BN343" s="15">
        <f t="shared" si="11"/>
        <v>314.875</v>
      </c>
      <c r="BO343" s="6"/>
      <c r="BP343" s="6" t="s">
        <v>24</v>
      </c>
      <c r="BQ343" s="6">
        <v>485</v>
      </c>
      <c r="BR343" s="6" t="s">
        <v>24</v>
      </c>
      <c r="BS343" s="6">
        <v>340</v>
      </c>
      <c r="BT343" s="6" t="s">
        <v>25</v>
      </c>
      <c r="BU343" s="6">
        <v>1034</v>
      </c>
      <c r="BV343" s="6" t="s">
        <v>26</v>
      </c>
      <c r="BW343" s="6">
        <v>5862</v>
      </c>
      <c r="BX343" s="6">
        <v>-1.98658855016221e-6</v>
      </c>
      <c r="BY343" s="6">
        <v>-2.04867111801632e-6</v>
      </c>
      <c r="BZ343" s="6">
        <v>1.60832084505932</v>
      </c>
    </row>
    <row r="344" spans="1:78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18"/>
      <c r="AZ344" s="18"/>
      <c r="BA344" s="6" t="s">
        <v>24</v>
      </c>
      <c r="BB344" s="6">
        <v>485</v>
      </c>
      <c r="BC344" s="6" t="s">
        <v>24</v>
      </c>
      <c r="BD344" s="6">
        <v>340</v>
      </c>
      <c r="BE344" s="6" t="s">
        <v>25</v>
      </c>
      <c r="BF344" s="6">
        <v>900</v>
      </c>
      <c r="BG344" s="6" t="s">
        <v>26</v>
      </c>
      <c r="BH344" s="6">
        <v>5046</v>
      </c>
      <c r="BI344" s="6">
        <v>-4.21097855242494e-6</v>
      </c>
      <c r="BJ344" s="6">
        <v>-4.36598022924958e-6</v>
      </c>
      <c r="BK344" s="6">
        <v>1.78284549269655</v>
      </c>
      <c r="BL344" s="18"/>
      <c r="BM344" s="4">
        <f t="shared" si="12"/>
        <v>856.855</v>
      </c>
      <c r="BN344" s="15">
        <f t="shared" si="11"/>
        <v>371.855</v>
      </c>
      <c r="BO344" s="6"/>
      <c r="BP344" s="6" t="s">
        <v>24</v>
      </c>
      <c r="BQ344" s="6">
        <v>485</v>
      </c>
      <c r="BR344" s="6" t="s">
        <v>24</v>
      </c>
      <c r="BS344" s="6">
        <v>340</v>
      </c>
      <c r="BT344" s="6" t="s">
        <v>25</v>
      </c>
      <c r="BU344" s="6">
        <v>1085</v>
      </c>
      <c r="BV344" s="6" t="s">
        <v>26</v>
      </c>
      <c r="BW344" s="6">
        <v>6156</v>
      </c>
      <c r="BX344" s="6">
        <v>-2.49252998431125e-6</v>
      </c>
      <c r="BY344" s="6">
        <v>-2.24544491322963e-6</v>
      </c>
      <c r="BZ344" s="6">
        <v>1.59189682534975</v>
      </c>
    </row>
    <row r="345" spans="1:78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18"/>
      <c r="AZ345" s="18"/>
      <c r="BA345" s="6" t="s">
        <v>24</v>
      </c>
      <c r="BB345" s="6">
        <v>485</v>
      </c>
      <c r="BC345" s="6" t="s">
        <v>24</v>
      </c>
      <c r="BD345" s="6">
        <v>340</v>
      </c>
      <c r="BE345" s="6" t="s">
        <v>25</v>
      </c>
      <c r="BF345" s="6">
        <v>961</v>
      </c>
      <c r="BG345" s="6" t="s">
        <v>26</v>
      </c>
      <c r="BH345" s="6">
        <v>5400</v>
      </c>
      <c r="BI345" s="6">
        <v>-2.89984710080755e-6</v>
      </c>
      <c r="BJ345" s="6">
        <v>-3.03098250142259e-6</v>
      </c>
      <c r="BK345" s="6">
        <v>1.70909128683241</v>
      </c>
      <c r="BL345" s="18"/>
      <c r="BM345" s="4">
        <f t="shared" si="12"/>
        <v>915.795</v>
      </c>
      <c r="BN345" s="15">
        <f t="shared" si="11"/>
        <v>430.795</v>
      </c>
      <c r="BO345" s="6"/>
      <c r="BP345" s="6" t="s">
        <v>24</v>
      </c>
      <c r="BQ345" s="6">
        <v>485</v>
      </c>
      <c r="BR345" s="6" t="s">
        <v>24</v>
      </c>
      <c r="BS345" s="6">
        <v>340</v>
      </c>
      <c r="BT345" s="6" t="s">
        <v>25</v>
      </c>
      <c r="BU345" s="6">
        <v>1177</v>
      </c>
      <c r="BV345" s="6" t="s">
        <v>26</v>
      </c>
      <c r="BW345" s="6">
        <v>6696</v>
      </c>
      <c r="BX345" s="6">
        <v>-1.60749837923926e-6</v>
      </c>
      <c r="BY345" s="6">
        <v>-1.51961407989582e-6</v>
      </c>
      <c r="BZ345" s="6">
        <v>1.52176969174728</v>
      </c>
    </row>
    <row r="346" spans="1:78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18"/>
      <c r="AZ346" s="18"/>
      <c r="BA346" s="6" t="s">
        <v>24</v>
      </c>
      <c r="BB346" s="6">
        <v>485</v>
      </c>
      <c r="BC346" s="6" t="s">
        <v>24</v>
      </c>
      <c r="BD346" s="6">
        <v>340</v>
      </c>
      <c r="BE346" s="6" t="s">
        <v>25</v>
      </c>
      <c r="BF346" s="6">
        <v>1024</v>
      </c>
      <c r="BG346" s="6" t="s">
        <v>26</v>
      </c>
      <c r="BH346" s="6">
        <v>5766</v>
      </c>
      <c r="BI346" s="6">
        <v>-2.57594561370713e-6</v>
      </c>
      <c r="BJ346" s="6">
        <v>-2.65177706647563e-6</v>
      </c>
      <c r="BK346" s="6">
        <v>1.67452911176796</v>
      </c>
      <c r="BL346" s="18"/>
      <c r="BM346" s="4">
        <f t="shared" si="12"/>
        <v>976.695</v>
      </c>
      <c r="BN346" s="15">
        <f t="shared" si="11"/>
        <v>491.695</v>
      </c>
      <c r="BO346" s="6"/>
      <c r="BP346" s="6" t="s">
        <v>24</v>
      </c>
      <c r="BQ346" s="6">
        <v>485</v>
      </c>
      <c r="BR346" s="6" t="s">
        <v>24</v>
      </c>
      <c r="BS346" s="6">
        <v>340</v>
      </c>
      <c r="BT346" s="6" t="s">
        <v>25</v>
      </c>
      <c r="BU346" s="6">
        <v>1243</v>
      </c>
      <c r="BV346" s="6" t="s">
        <v>26</v>
      </c>
      <c r="BW346" s="6">
        <v>7080</v>
      </c>
      <c r="BX346" s="6">
        <v>-1.43394732661437e-6</v>
      </c>
      <c r="BY346" s="6">
        <v>-1.31730998594717e-6</v>
      </c>
      <c r="BZ346" s="6">
        <v>1.4836093148051</v>
      </c>
    </row>
    <row r="347" spans="1:78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18"/>
      <c r="AZ347" s="18"/>
      <c r="BA347" s="6" t="s">
        <v>24</v>
      </c>
      <c r="BB347" s="6">
        <v>485</v>
      </c>
      <c r="BC347" s="6" t="s">
        <v>24</v>
      </c>
      <c r="BD347" s="6">
        <v>340</v>
      </c>
      <c r="BE347" s="6" t="s">
        <v>25</v>
      </c>
      <c r="BF347" s="6">
        <v>1089</v>
      </c>
      <c r="BG347" s="6" t="s">
        <v>26</v>
      </c>
      <c r="BH347" s="6">
        <v>6144</v>
      </c>
      <c r="BI347" s="6">
        <v>-1.83672230510806e-6</v>
      </c>
      <c r="BJ347" s="6">
        <v>-1.99095361839012e-6</v>
      </c>
      <c r="BK347" s="6">
        <v>1.62444146355354</v>
      </c>
      <c r="BL347" s="18"/>
      <c r="BM347" s="4">
        <f t="shared" si="12"/>
        <v>1039.555</v>
      </c>
      <c r="BN347" s="15">
        <f t="shared" si="11"/>
        <v>554.555</v>
      </c>
      <c r="BO347" s="6"/>
      <c r="BP347" s="6" t="s">
        <v>24</v>
      </c>
      <c r="BQ347" s="6">
        <v>485</v>
      </c>
      <c r="BR347" s="6" t="s">
        <v>24</v>
      </c>
      <c r="BS347" s="6">
        <v>340</v>
      </c>
      <c r="BT347" s="6" t="s">
        <v>25</v>
      </c>
      <c r="BU347" s="6">
        <v>1325</v>
      </c>
      <c r="BV347" s="6" t="s">
        <v>26</v>
      </c>
      <c r="BW347" s="6">
        <v>7560</v>
      </c>
      <c r="BX347" s="6">
        <v>-1.32437443110649e-6</v>
      </c>
      <c r="BY347" s="6">
        <v>-1.25954955838074e-6</v>
      </c>
      <c r="BZ347" s="6">
        <v>1.48321579771428</v>
      </c>
    </row>
    <row r="348" spans="1:7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18"/>
      <c r="AZ348" s="18"/>
      <c r="BA348" s="10" t="s">
        <v>40</v>
      </c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8"/>
      <c r="BM348" s="4"/>
      <c r="BN348" s="15"/>
      <c r="BO348" s="6"/>
      <c r="BP348" s="10" t="s">
        <v>40</v>
      </c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</row>
    <row r="349" ht="23.25" spans="1:78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18"/>
      <c r="AZ349" s="18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8"/>
      <c r="BM349" s="4"/>
      <c r="BN349" s="15"/>
      <c r="BO349" s="3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</row>
    <row r="350" ht="23.25" spans="1:78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18"/>
      <c r="AZ350" s="18"/>
      <c r="BA350" s="6" t="s">
        <v>12</v>
      </c>
      <c r="BB350" s="6" t="s">
        <v>13</v>
      </c>
      <c r="BC350" s="6" t="s">
        <v>14</v>
      </c>
      <c r="BD350" s="6" t="s">
        <v>15</v>
      </c>
      <c r="BE350" s="6" t="s">
        <v>16</v>
      </c>
      <c r="BF350" s="6" t="s">
        <v>17</v>
      </c>
      <c r="BG350" s="6" t="s">
        <v>18</v>
      </c>
      <c r="BH350" s="6" t="s">
        <v>19</v>
      </c>
      <c r="BI350" s="6" t="s">
        <v>20</v>
      </c>
      <c r="BJ350" s="6" t="s">
        <v>21</v>
      </c>
      <c r="BK350" s="6" t="s">
        <v>22</v>
      </c>
      <c r="BL350" s="18"/>
      <c r="BM350" s="4"/>
      <c r="BN350" s="15"/>
      <c r="BO350" s="3"/>
      <c r="BP350" s="6" t="s">
        <v>12</v>
      </c>
      <c r="BQ350" s="6" t="s">
        <v>13</v>
      </c>
      <c r="BR350" s="6" t="s">
        <v>14</v>
      </c>
      <c r="BS350" s="6" t="s">
        <v>15</v>
      </c>
      <c r="BT350" s="6" t="s">
        <v>16</v>
      </c>
      <c r="BU350" s="6" t="s">
        <v>17</v>
      </c>
      <c r="BV350" s="6" t="s">
        <v>18</v>
      </c>
      <c r="BW350" s="6" t="s">
        <v>19</v>
      </c>
      <c r="BX350" s="6" t="s">
        <v>20</v>
      </c>
      <c r="BY350" s="6" t="s">
        <v>21</v>
      </c>
      <c r="BZ350" s="6" t="s">
        <v>22</v>
      </c>
    </row>
    <row r="351" spans="1:78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18"/>
      <c r="AZ351" s="18"/>
      <c r="BA351" s="6" t="s">
        <v>24</v>
      </c>
      <c r="BB351" s="6">
        <v>564</v>
      </c>
      <c r="BC351" s="6" t="s">
        <v>24</v>
      </c>
      <c r="BD351" s="6">
        <v>340</v>
      </c>
      <c r="BE351" s="6" t="s">
        <v>25</v>
      </c>
      <c r="BF351" s="6">
        <v>441</v>
      </c>
      <c r="BG351" s="6" t="s">
        <v>26</v>
      </c>
      <c r="BH351" s="6">
        <v>2400</v>
      </c>
      <c r="BI351" s="6">
        <v>-2.25203863654996</v>
      </c>
      <c r="BJ351" s="6">
        <v>-1.92882337700629</v>
      </c>
      <c r="BK351" s="6">
        <v>0.0122248701117532</v>
      </c>
      <c r="BL351" s="18"/>
      <c r="BM351" s="4">
        <f t="shared" si="12"/>
        <v>411.72</v>
      </c>
      <c r="BN351" s="15">
        <f t="shared" si="11"/>
        <v>152.28</v>
      </c>
      <c r="BO351" s="4"/>
      <c r="BP351" s="6" t="s">
        <v>24</v>
      </c>
      <c r="BQ351" s="6">
        <v>564</v>
      </c>
      <c r="BR351" s="6" t="s">
        <v>24</v>
      </c>
      <c r="BS351" s="6">
        <v>340</v>
      </c>
      <c r="BT351" s="6" t="s">
        <v>25</v>
      </c>
      <c r="BU351" s="6">
        <v>564</v>
      </c>
      <c r="BV351" s="6" t="s">
        <v>26</v>
      </c>
      <c r="BW351" s="6">
        <v>3138</v>
      </c>
      <c r="BX351" s="6">
        <v>-0.62972758238366</v>
      </c>
      <c r="BY351" s="6">
        <v>-0.547687761058645</v>
      </c>
      <c r="BZ351" s="6">
        <v>2.06892847311087</v>
      </c>
    </row>
    <row r="352" spans="1:78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18"/>
      <c r="AZ352" s="18"/>
      <c r="BA352" s="6" t="s">
        <v>24</v>
      </c>
      <c r="BB352" s="6">
        <v>564</v>
      </c>
      <c r="BC352" s="6" t="s">
        <v>24</v>
      </c>
      <c r="BD352" s="6">
        <v>340</v>
      </c>
      <c r="BE352" s="6" t="s">
        <v>25</v>
      </c>
      <c r="BF352" s="6">
        <v>484</v>
      </c>
      <c r="BG352" s="6" t="s">
        <v>26</v>
      </c>
      <c r="BH352" s="6">
        <v>2646</v>
      </c>
      <c r="BI352" s="6">
        <v>-2.04805552278486</v>
      </c>
      <c r="BJ352" s="6">
        <v>-1.67313636382391</v>
      </c>
      <c r="BK352" s="6">
        <v>0.666175940173557</v>
      </c>
      <c r="BL352" s="18"/>
      <c r="BM352" s="4">
        <f t="shared" si="12"/>
        <v>452.88</v>
      </c>
      <c r="BN352" s="15">
        <f t="shared" si="11"/>
        <v>111.12</v>
      </c>
      <c r="BO352" s="6"/>
      <c r="BP352" s="6" t="s">
        <v>24</v>
      </c>
      <c r="BQ352" s="6">
        <v>564</v>
      </c>
      <c r="BR352" s="6" t="s">
        <v>24</v>
      </c>
      <c r="BS352" s="6">
        <v>340</v>
      </c>
      <c r="BT352" s="6" t="s">
        <v>25</v>
      </c>
      <c r="BU352" s="6">
        <v>598</v>
      </c>
      <c r="BV352" s="6" t="s">
        <v>26</v>
      </c>
      <c r="BW352" s="6">
        <v>3330</v>
      </c>
      <c r="BX352" s="6">
        <v>-0.147336814853253</v>
      </c>
      <c r="BY352" s="6">
        <v>-0.130882320148864</v>
      </c>
      <c r="BZ352" s="6">
        <v>2.72550550887142</v>
      </c>
    </row>
    <row r="353" spans="1:78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18"/>
      <c r="AZ353" s="18"/>
      <c r="BA353" s="6" t="s">
        <v>24</v>
      </c>
      <c r="BB353" s="6">
        <v>564</v>
      </c>
      <c r="BC353" s="6" t="s">
        <v>24</v>
      </c>
      <c r="BD353" s="6">
        <v>340</v>
      </c>
      <c r="BE353" s="6" t="s">
        <v>25</v>
      </c>
      <c r="BF353" s="6">
        <v>529</v>
      </c>
      <c r="BG353" s="6" t="s">
        <v>26</v>
      </c>
      <c r="BH353" s="6">
        <v>2904</v>
      </c>
      <c r="BI353" s="6">
        <v>-1.14733024633775</v>
      </c>
      <c r="BJ353" s="6">
        <v>-0.994325511137384</v>
      </c>
      <c r="BK353" s="6">
        <v>1.45624200437648</v>
      </c>
      <c r="BL353" s="18"/>
      <c r="BM353" s="4">
        <f t="shared" si="12"/>
        <v>496</v>
      </c>
      <c r="BN353" s="15">
        <f t="shared" si="11"/>
        <v>68</v>
      </c>
      <c r="BO353" s="6"/>
      <c r="BP353" s="6" t="s">
        <v>24</v>
      </c>
      <c r="BQ353" s="6">
        <v>564</v>
      </c>
      <c r="BR353" s="6" t="s">
        <v>24</v>
      </c>
      <c r="BS353" s="6">
        <v>340</v>
      </c>
      <c r="BT353" s="6" t="s">
        <v>25</v>
      </c>
      <c r="BU353" s="6">
        <v>668</v>
      </c>
      <c r="BV353" s="6" t="s">
        <v>26</v>
      </c>
      <c r="BW353" s="6">
        <v>3738</v>
      </c>
      <c r="BX353" s="6">
        <v>-5.13039943478068e-5</v>
      </c>
      <c r="BY353" s="6">
        <v>-4.869102249616e-5</v>
      </c>
      <c r="BZ353" s="6">
        <v>2.28192046315265</v>
      </c>
    </row>
    <row r="354" spans="1:78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18"/>
      <c r="AZ354" s="18"/>
      <c r="BA354" s="11" t="s">
        <v>24</v>
      </c>
      <c r="BB354" s="11">
        <v>564</v>
      </c>
      <c r="BC354" s="11" t="s">
        <v>24</v>
      </c>
      <c r="BD354" s="11">
        <v>340</v>
      </c>
      <c r="BE354" s="11" t="s">
        <v>25</v>
      </c>
      <c r="BF354" s="11">
        <v>576</v>
      </c>
      <c r="BG354" s="11" t="s">
        <v>26</v>
      </c>
      <c r="BH354" s="11">
        <v>3174</v>
      </c>
      <c r="BI354" s="11">
        <v>-0.476838499153405</v>
      </c>
      <c r="BJ354" s="11">
        <v>-0.449275848365179</v>
      </c>
      <c r="BK354" s="11">
        <v>2.27070476483343</v>
      </c>
      <c r="BL354" s="20"/>
      <c r="BM354" s="12">
        <f t="shared" si="12"/>
        <v>541.08</v>
      </c>
      <c r="BN354" s="15">
        <f t="shared" si="11"/>
        <v>22.9200000000001</v>
      </c>
      <c r="BO354" s="6"/>
      <c r="BP354" s="6" t="s">
        <v>24</v>
      </c>
      <c r="BQ354" s="6">
        <v>564</v>
      </c>
      <c r="BR354" s="6" t="s">
        <v>24</v>
      </c>
      <c r="BS354" s="6">
        <v>340</v>
      </c>
      <c r="BT354" s="6" t="s">
        <v>25</v>
      </c>
      <c r="BU354" s="6">
        <v>741</v>
      </c>
      <c r="BV354" s="6" t="s">
        <v>26</v>
      </c>
      <c r="BW354" s="6">
        <v>4164</v>
      </c>
      <c r="BX354" s="6">
        <v>-1.77146864851943e-5</v>
      </c>
      <c r="BY354" s="6">
        <v>-1.69977529165564e-5</v>
      </c>
      <c r="BZ354" s="6">
        <v>2.05658298113965</v>
      </c>
    </row>
    <row r="355" spans="1:78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18"/>
      <c r="AZ355" s="18"/>
      <c r="BA355" s="6" t="s">
        <v>24</v>
      </c>
      <c r="BB355" s="6">
        <v>564</v>
      </c>
      <c r="BC355" s="6" t="s">
        <v>24</v>
      </c>
      <c r="BD355" s="6">
        <v>340</v>
      </c>
      <c r="BE355" s="6" t="s">
        <v>25</v>
      </c>
      <c r="BF355" s="6">
        <v>625</v>
      </c>
      <c r="BG355" s="6" t="s">
        <v>26</v>
      </c>
      <c r="BH355" s="6">
        <v>3456</v>
      </c>
      <c r="BI355" s="6">
        <v>-0.000807096902953077</v>
      </c>
      <c r="BJ355" s="6">
        <v>-0.00142836104133227</v>
      </c>
      <c r="BK355" s="6">
        <v>3.04675622883714</v>
      </c>
      <c r="BL355" s="18"/>
      <c r="BM355" s="4">
        <f t="shared" si="12"/>
        <v>588.12</v>
      </c>
      <c r="BN355" s="15">
        <f t="shared" si="11"/>
        <v>24.1200000000001</v>
      </c>
      <c r="BO355" s="6"/>
      <c r="BP355" s="6" t="s">
        <v>24</v>
      </c>
      <c r="BQ355" s="6">
        <v>564</v>
      </c>
      <c r="BR355" s="6" t="s">
        <v>24</v>
      </c>
      <c r="BS355" s="6">
        <v>340</v>
      </c>
      <c r="BT355" s="6" t="s">
        <v>25</v>
      </c>
      <c r="BU355" s="6">
        <v>797</v>
      </c>
      <c r="BV355" s="6" t="s">
        <v>26</v>
      </c>
      <c r="BW355" s="6">
        <v>4488</v>
      </c>
      <c r="BX355" s="6">
        <v>-1.91685249427813e-5</v>
      </c>
      <c r="BY355" s="6">
        <v>-1.63661214717149e-5</v>
      </c>
      <c r="BZ355" s="6">
        <v>2.01425410547132</v>
      </c>
    </row>
    <row r="356" spans="1:78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18"/>
      <c r="AZ356" s="18"/>
      <c r="BA356" s="6" t="s">
        <v>24</v>
      </c>
      <c r="BB356" s="6">
        <v>564</v>
      </c>
      <c r="BC356" s="6" t="s">
        <v>24</v>
      </c>
      <c r="BD356" s="6">
        <v>340</v>
      </c>
      <c r="BE356" s="6" t="s">
        <v>25</v>
      </c>
      <c r="BF356" s="6">
        <v>676</v>
      </c>
      <c r="BG356" s="6" t="s">
        <v>26</v>
      </c>
      <c r="BH356" s="6">
        <v>3750</v>
      </c>
      <c r="BI356" s="6">
        <v>-7.59277170382996e-5</v>
      </c>
      <c r="BJ356" s="6">
        <v>-9.02170101087305e-5</v>
      </c>
      <c r="BK356" s="6">
        <v>2.46841545964686</v>
      </c>
      <c r="BL356" s="18"/>
      <c r="BM356" s="4">
        <f t="shared" si="12"/>
        <v>637.12</v>
      </c>
      <c r="BN356" s="15">
        <f t="shared" si="11"/>
        <v>73.1200000000001</v>
      </c>
      <c r="BO356" s="6"/>
      <c r="BP356" s="6" t="s">
        <v>24</v>
      </c>
      <c r="BQ356" s="6">
        <v>564</v>
      </c>
      <c r="BR356" s="6" t="s">
        <v>24</v>
      </c>
      <c r="BS356" s="6">
        <v>340</v>
      </c>
      <c r="BT356" s="6" t="s">
        <v>25</v>
      </c>
      <c r="BU356" s="6">
        <v>861</v>
      </c>
      <c r="BV356" s="6" t="s">
        <v>26</v>
      </c>
      <c r="BW356" s="6">
        <v>4860</v>
      </c>
      <c r="BX356" s="6">
        <v>-8.76978242652709e-6</v>
      </c>
      <c r="BY356" s="6">
        <v>-8.41306589900807e-6</v>
      </c>
      <c r="BZ356" s="6">
        <v>1.90178700562679</v>
      </c>
    </row>
    <row r="357" spans="1:78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18"/>
      <c r="AZ357" s="18"/>
      <c r="BA357" s="6" t="s">
        <v>24</v>
      </c>
      <c r="BB357" s="6">
        <v>564</v>
      </c>
      <c r="BC357" s="6" t="s">
        <v>24</v>
      </c>
      <c r="BD357" s="6">
        <v>340</v>
      </c>
      <c r="BE357" s="6" t="s">
        <v>25</v>
      </c>
      <c r="BF357" s="6">
        <v>729</v>
      </c>
      <c r="BG357" s="6" t="s">
        <v>26</v>
      </c>
      <c r="BH357" s="6">
        <v>4056</v>
      </c>
      <c r="BI357" s="6">
        <v>-3.42570183323025e-5</v>
      </c>
      <c r="BJ357" s="6">
        <v>-3.20849037099732e-5</v>
      </c>
      <c r="BK357" s="6">
        <v>2.19523570956786</v>
      </c>
      <c r="BL357" s="18"/>
      <c r="BM357" s="4">
        <f t="shared" si="12"/>
        <v>688.08</v>
      </c>
      <c r="BN357" s="15">
        <f t="shared" si="11"/>
        <v>124.08</v>
      </c>
      <c r="BO357" s="6"/>
      <c r="BP357" s="6" t="s">
        <v>24</v>
      </c>
      <c r="BQ357" s="6">
        <v>564</v>
      </c>
      <c r="BR357" s="6" t="s">
        <v>24</v>
      </c>
      <c r="BS357" s="6">
        <v>340</v>
      </c>
      <c r="BT357" s="6" t="s">
        <v>25</v>
      </c>
      <c r="BU357" s="6">
        <v>927</v>
      </c>
      <c r="BV357" s="6" t="s">
        <v>26</v>
      </c>
      <c r="BW357" s="6">
        <v>5244</v>
      </c>
      <c r="BX357" s="6">
        <v>-6.72949941763113e-6</v>
      </c>
      <c r="BY357" s="6">
        <v>-6.62818860178676e-6</v>
      </c>
      <c r="BZ357" s="6">
        <v>1.85799718998802</v>
      </c>
    </row>
    <row r="358" spans="1:7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8"/>
      <c r="AZ358" s="18"/>
      <c r="BA358" s="6" t="s">
        <v>24</v>
      </c>
      <c r="BB358" s="6">
        <v>564</v>
      </c>
      <c r="BC358" s="6" t="s">
        <v>24</v>
      </c>
      <c r="BD358" s="6">
        <v>340</v>
      </c>
      <c r="BE358" s="6" t="s">
        <v>25</v>
      </c>
      <c r="BF358" s="6">
        <v>784</v>
      </c>
      <c r="BG358" s="6" t="s">
        <v>26</v>
      </c>
      <c r="BH358" s="6">
        <v>4374</v>
      </c>
      <c r="BI358" s="6">
        <v>-2.55063720553278e-5</v>
      </c>
      <c r="BJ358" s="6">
        <v>-2.29860219281289e-5</v>
      </c>
      <c r="BK358" s="6">
        <v>2.11362572558094</v>
      </c>
      <c r="BL358" s="18"/>
      <c r="BM358" s="4">
        <f t="shared" si="12"/>
        <v>744.855</v>
      </c>
      <c r="BN358" s="15">
        <f t="shared" si="11"/>
        <v>180.855</v>
      </c>
      <c r="BO358" s="6"/>
      <c r="BP358" s="6" t="s">
        <v>24</v>
      </c>
      <c r="BQ358" s="6">
        <v>564</v>
      </c>
      <c r="BR358" s="6" t="s">
        <v>24</v>
      </c>
      <c r="BS358" s="6">
        <v>340</v>
      </c>
      <c r="BT358" s="6" t="s">
        <v>25</v>
      </c>
      <c r="BU358" s="6">
        <v>977</v>
      </c>
      <c r="BV358" s="6" t="s">
        <v>26</v>
      </c>
      <c r="BW358" s="6">
        <v>5532</v>
      </c>
      <c r="BX358" s="6">
        <v>-5.41722812312041e-6</v>
      </c>
      <c r="BY358" s="6">
        <v>-5.24477843623024e-6</v>
      </c>
      <c r="BZ358" s="6">
        <v>1.80358640209349</v>
      </c>
    </row>
    <row r="359" spans="1:78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8"/>
      <c r="AZ359" s="18"/>
      <c r="BA359" s="6" t="s">
        <v>24</v>
      </c>
      <c r="BB359" s="6">
        <v>564</v>
      </c>
      <c r="BC359" s="6" t="s">
        <v>24</v>
      </c>
      <c r="BD359" s="6">
        <v>340</v>
      </c>
      <c r="BE359" s="6" t="s">
        <v>25</v>
      </c>
      <c r="BF359" s="6">
        <v>841</v>
      </c>
      <c r="BG359" s="6" t="s">
        <v>26</v>
      </c>
      <c r="BH359" s="6">
        <v>4704</v>
      </c>
      <c r="BI359" s="6">
        <v>-1.76639481628146e-5</v>
      </c>
      <c r="BJ359" s="6">
        <v>-1.59968820258588e-5</v>
      </c>
      <c r="BK359" s="6">
        <v>2.03319225277049</v>
      </c>
      <c r="BL359" s="18"/>
      <c r="BM359" s="4">
        <f t="shared" si="12"/>
        <v>799.875</v>
      </c>
      <c r="BN359" s="15">
        <f t="shared" si="11"/>
        <v>235.875</v>
      </c>
      <c r="BO359" s="6"/>
      <c r="BP359" s="6" t="s">
        <v>24</v>
      </c>
      <c r="BQ359" s="6">
        <v>564</v>
      </c>
      <c r="BR359" s="6" t="s">
        <v>24</v>
      </c>
      <c r="BS359" s="6">
        <v>340</v>
      </c>
      <c r="BT359" s="6" t="s">
        <v>25</v>
      </c>
      <c r="BU359" s="6">
        <v>1034</v>
      </c>
      <c r="BV359" s="6" t="s">
        <v>26</v>
      </c>
      <c r="BW359" s="6">
        <v>5862</v>
      </c>
      <c r="BX359" s="6">
        <v>-6.22109641802942e-6</v>
      </c>
      <c r="BY359" s="6">
        <v>-5.62085540542779e-6</v>
      </c>
      <c r="BZ359" s="6">
        <v>1.79730251912285</v>
      </c>
    </row>
    <row r="360" spans="1:78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6" t="s">
        <v>24</v>
      </c>
      <c r="BB360" s="6">
        <v>564</v>
      </c>
      <c r="BC360" s="6" t="s">
        <v>24</v>
      </c>
      <c r="BD360" s="6">
        <v>340</v>
      </c>
      <c r="BE360" s="6" t="s">
        <v>25</v>
      </c>
      <c r="BF360" s="6">
        <v>900</v>
      </c>
      <c r="BG360" s="6" t="s">
        <v>26</v>
      </c>
      <c r="BH360" s="6">
        <v>5046</v>
      </c>
      <c r="BI360" s="6">
        <v>-1.12466393221948e-5</v>
      </c>
      <c r="BJ360" s="6">
        <v>-1.02817646615235e-5</v>
      </c>
      <c r="BK360" s="6">
        <v>1.9404620182839</v>
      </c>
      <c r="BL360" s="18"/>
      <c r="BM360" s="4">
        <f t="shared" si="12"/>
        <v>856.855</v>
      </c>
      <c r="BN360" s="15">
        <f t="shared" si="11"/>
        <v>292.855</v>
      </c>
      <c r="BO360" s="6"/>
      <c r="BP360" s="6" t="s">
        <v>24</v>
      </c>
      <c r="BQ360" s="6">
        <v>564</v>
      </c>
      <c r="BR360" s="6" t="s">
        <v>24</v>
      </c>
      <c r="BS360" s="6">
        <v>340</v>
      </c>
      <c r="BT360" s="6" t="s">
        <v>25</v>
      </c>
      <c r="BU360" s="6">
        <v>1085</v>
      </c>
      <c r="BV360" s="6" t="s">
        <v>26</v>
      </c>
      <c r="BW360" s="6">
        <v>6156</v>
      </c>
      <c r="BX360" s="6">
        <v>-5.34554286319164e-6</v>
      </c>
      <c r="BY360" s="6">
        <v>-4.8382438335598e-6</v>
      </c>
      <c r="BZ360" s="6">
        <v>1.76769438430554</v>
      </c>
    </row>
    <row r="361" spans="1:78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18"/>
      <c r="AZ361" s="18"/>
      <c r="BA361" s="6" t="s">
        <v>24</v>
      </c>
      <c r="BB361" s="6">
        <v>564</v>
      </c>
      <c r="BC361" s="6" t="s">
        <v>24</v>
      </c>
      <c r="BD361" s="6">
        <v>340</v>
      </c>
      <c r="BE361" s="6" t="s">
        <v>25</v>
      </c>
      <c r="BF361" s="6">
        <v>961</v>
      </c>
      <c r="BG361" s="6" t="s">
        <v>26</v>
      </c>
      <c r="BH361" s="6">
        <v>5400</v>
      </c>
      <c r="BI361" s="6">
        <v>-9.52014010404688e-6</v>
      </c>
      <c r="BJ361" s="6">
        <v>-8.69654166797447e-6</v>
      </c>
      <c r="BK361" s="6">
        <v>1.90604708702682</v>
      </c>
      <c r="BL361" s="18"/>
      <c r="BM361" s="4">
        <f t="shared" si="12"/>
        <v>915.795</v>
      </c>
      <c r="BN361" s="15">
        <f t="shared" si="11"/>
        <v>351.795</v>
      </c>
      <c r="BO361" s="6"/>
      <c r="BP361" s="6" t="s">
        <v>24</v>
      </c>
      <c r="BQ361" s="6">
        <v>564</v>
      </c>
      <c r="BR361" s="6" t="s">
        <v>24</v>
      </c>
      <c r="BS361" s="6">
        <v>340</v>
      </c>
      <c r="BT361" s="6" t="s">
        <v>25</v>
      </c>
      <c r="BU361" s="6">
        <v>1177</v>
      </c>
      <c r="BV361" s="6" t="s">
        <v>26</v>
      </c>
      <c r="BW361" s="6">
        <v>6696</v>
      </c>
      <c r="BX361" s="6">
        <v>-3.67481648723891e-6</v>
      </c>
      <c r="BY361" s="6">
        <v>-3.3960333540947e-6</v>
      </c>
      <c r="BZ361" s="6">
        <v>1.69331376463433</v>
      </c>
    </row>
    <row r="362" spans="1:78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18"/>
      <c r="AZ362" s="18"/>
      <c r="BA362" s="6" t="s">
        <v>24</v>
      </c>
      <c r="BB362" s="6">
        <v>564</v>
      </c>
      <c r="BC362" s="6" t="s">
        <v>24</v>
      </c>
      <c r="BD362" s="6">
        <v>340</v>
      </c>
      <c r="BE362" s="6" t="s">
        <v>25</v>
      </c>
      <c r="BF362" s="6">
        <v>1024</v>
      </c>
      <c r="BG362" s="6" t="s">
        <v>26</v>
      </c>
      <c r="BH362" s="6">
        <v>5766</v>
      </c>
      <c r="BI362" s="6">
        <v>-5.82289980243867e-6</v>
      </c>
      <c r="BJ362" s="6">
        <v>-5.45214332170479e-6</v>
      </c>
      <c r="BK362" s="6">
        <v>1.81066720265236</v>
      </c>
      <c r="BL362" s="18"/>
      <c r="BM362" s="4">
        <f t="shared" si="12"/>
        <v>976.695</v>
      </c>
      <c r="BN362" s="15">
        <f t="shared" si="11"/>
        <v>412.695</v>
      </c>
      <c r="BO362" s="6"/>
      <c r="BP362" s="6" t="s">
        <v>24</v>
      </c>
      <c r="BQ362" s="6">
        <v>564</v>
      </c>
      <c r="BR362" s="6" t="s">
        <v>24</v>
      </c>
      <c r="BS362" s="6">
        <v>340</v>
      </c>
      <c r="BT362" s="6" t="s">
        <v>25</v>
      </c>
      <c r="BU362" s="6">
        <v>1243</v>
      </c>
      <c r="BV362" s="6" t="s">
        <v>26</v>
      </c>
      <c r="BW362" s="6">
        <v>7080</v>
      </c>
      <c r="BX362" s="6">
        <v>-3.12372325996249e-6</v>
      </c>
      <c r="BY362" s="6">
        <v>-2.81808045178369e-6</v>
      </c>
      <c r="BZ362" s="6">
        <v>1.64818705518339</v>
      </c>
    </row>
    <row r="363" spans="1:78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18"/>
      <c r="AZ363" s="18"/>
      <c r="BA363" s="6" t="s">
        <v>24</v>
      </c>
      <c r="BB363" s="6">
        <v>564</v>
      </c>
      <c r="BC363" s="6" t="s">
        <v>24</v>
      </c>
      <c r="BD363" s="6">
        <v>340</v>
      </c>
      <c r="BE363" s="6" t="s">
        <v>25</v>
      </c>
      <c r="BF363" s="6">
        <v>1089</v>
      </c>
      <c r="BG363" s="6" t="s">
        <v>26</v>
      </c>
      <c r="BH363" s="6">
        <v>6144</v>
      </c>
      <c r="BI363" s="6">
        <v>-5.26232967314113e-6</v>
      </c>
      <c r="BJ363" s="6">
        <v>-4.89497037168399e-6</v>
      </c>
      <c r="BK363" s="6">
        <v>1.78430542048659</v>
      </c>
      <c r="BL363" s="18"/>
      <c r="BM363" s="4">
        <f t="shared" si="12"/>
        <v>1039.555</v>
      </c>
      <c r="BN363" s="15">
        <f t="shared" si="11"/>
        <v>475.555</v>
      </c>
      <c r="BO363" s="6"/>
      <c r="BP363" s="6" t="s">
        <v>24</v>
      </c>
      <c r="BQ363" s="6">
        <v>564</v>
      </c>
      <c r="BR363" s="6" t="s">
        <v>24</v>
      </c>
      <c r="BS363" s="6">
        <v>340</v>
      </c>
      <c r="BT363" s="6" t="s">
        <v>25</v>
      </c>
      <c r="BU363" s="6">
        <v>1325</v>
      </c>
      <c r="BV363" s="6" t="s">
        <v>26</v>
      </c>
      <c r="BW363" s="6">
        <v>7560</v>
      </c>
      <c r="BX363" s="6">
        <v>-2.84721828129075e-6</v>
      </c>
      <c r="BY363" s="6">
        <v>-2.66437391103022e-6</v>
      </c>
      <c r="BZ363" s="6">
        <v>1.64702978591349</v>
      </c>
    </row>
    <row r="364" spans="1:78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18"/>
      <c r="AZ364" s="18"/>
      <c r="BA364" s="10" t="s">
        <v>41</v>
      </c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8"/>
      <c r="BM364" s="4"/>
      <c r="BN364" s="15"/>
      <c r="BO364" s="6"/>
      <c r="BP364" s="10" t="s">
        <v>41</v>
      </c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</row>
    <row r="365" ht="23.25" spans="1:78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18"/>
      <c r="AZ365" s="18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8"/>
      <c r="BM365" s="4"/>
      <c r="BN365" s="15"/>
      <c r="BO365" s="3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</row>
    <row r="366" ht="23.25" spans="1:78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18"/>
      <c r="AZ366" s="18"/>
      <c r="BA366" s="6" t="s">
        <v>12</v>
      </c>
      <c r="BB366" s="6" t="s">
        <v>13</v>
      </c>
      <c r="BC366" s="6" t="s">
        <v>14</v>
      </c>
      <c r="BD366" s="6" t="s">
        <v>15</v>
      </c>
      <c r="BE366" s="6" t="s">
        <v>16</v>
      </c>
      <c r="BF366" s="6" t="s">
        <v>17</v>
      </c>
      <c r="BG366" s="6" t="s">
        <v>18</v>
      </c>
      <c r="BH366" s="6" t="s">
        <v>19</v>
      </c>
      <c r="BI366" s="6" t="s">
        <v>20</v>
      </c>
      <c r="BJ366" s="6" t="s">
        <v>21</v>
      </c>
      <c r="BK366" s="6" t="s">
        <v>22</v>
      </c>
      <c r="BL366" s="18"/>
      <c r="BM366" s="4"/>
      <c r="BN366" s="15"/>
      <c r="BO366" s="3"/>
      <c r="BP366" s="6" t="s">
        <v>12</v>
      </c>
      <c r="BQ366" s="6" t="s">
        <v>13</v>
      </c>
      <c r="BR366" s="6" t="s">
        <v>14</v>
      </c>
      <c r="BS366" s="6" t="s">
        <v>15</v>
      </c>
      <c r="BT366" s="6" t="s">
        <v>16</v>
      </c>
      <c r="BU366" s="6" t="s">
        <v>17</v>
      </c>
      <c r="BV366" s="6" t="s">
        <v>18</v>
      </c>
      <c r="BW366" s="6" t="s">
        <v>19</v>
      </c>
      <c r="BX366" s="6" t="s">
        <v>20</v>
      </c>
      <c r="BY366" s="6" t="s">
        <v>21</v>
      </c>
      <c r="BZ366" s="6" t="s">
        <v>22</v>
      </c>
    </row>
    <row r="367" spans="1:78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18"/>
      <c r="AZ367" s="18"/>
      <c r="BA367" s="6" t="s">
        <v>24</v>
      </c>
      <c r="BB367" s="6">
        <v>598</v>
      </c>
      <c r="BC367" s="6" t="s">
        <v>24</v>
      </c>
      <c r="BD367" s="6">
        <v>340</v>
      </c>
      <c r="BE367" s="6" t="s">
        <v>25</v>
      </c>
      <c r="BF367" s="6">
        <v>484</v>
      </c>
      <c r="BG367" s="6" t="s">
        <v>26</v>
      </c>
      <c r="BH367" s="6">
        <v>2646</v>
      </c>
      <c r="BI367" s="6">
        <v>-2.24304341438778</v>
      </c>
      <c r="BJ367" s="6">
        <v>-1.84508300072904</v>
      </c>
      <c r="BK367" s="6">
        <v>0.44471366810797</v>
      </c>
      <c r="BL367" s="18"/>
      <c r="BM367" s="4">
        <f t="shared" si="12"/>
        <v>452.88</v>
      </c>
      <c r="BN367" s="15">
        <f t="shared" si="11"/>
        <v>145.12</v>
      </c>
      <c r="BO367" s="4"/>
      <c r="BP367" s="6" t="s">
        <v>24</v>
      </c>
      <c r="BQ367" s="6">
        <v>598</v>
      </c>
      <c r="BR367" s="6" t="s">
        <v>24</v>
      </c>
      <c r="BS367" s="6">
        <v>340</v>
      </c>
      <c r="BT367" s="6" t="s">
        <v>25</v>
      </c>
      <c r="BU367" s="6">
        <v>598</v>
      </c>
      <c r="BV367" s="6" t="s">
        <v>26</v>
      </c>
      <c r="BW367" s="6">
        <v>3330</v>
      </c>
      <c r="BX367" s="6">
        <v>-0.400096563891158</v>
      </c>
      <c r="BY367" s="6">
        <v>-0.350448611153918</v>
      </c>
      <c r="BZ367" s="6">
        <v>2.22167891500678</v>
      </c>
    </row>
    <row r="368" spans="1:7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18"/>
      <c r="AZ368" s="18"/>
      <c r="BA368" s="6" t="s">
        <v>24</v>
      </c>
      <c r="BB368" s="6">
        <v>598</v>
      </c>
      <c r="BC368" s="6" t="s">
        <v>24</v>
      </c>
      <c r="BD368" s="6">
        <v>340</v>
      </c>
      <c r="BE368" s="6" t="s">
        <v>25</v>
      </c>
      <c r="BF368" s="6">
        <v>529</v>
      </c>
      <c r="BG368" s="6" t="s">
        <v>26</v>
      </c>
      <c r="BH368" s="6">
        <v>2904</v>
      </c>
      <c r="BI368" s="6">
        <v>-1.99147702878624</v>
      </c>
      <c r="BJ368" s="6">
        <v>-1.59309596547617</v>
      </c>
      <c r="BK368" s="6">
        <v>0.924334631278712</v>
      </c>
      <c r="BL368" s="18"/>
      <c r="BM368" s="4">
        <f t="shared" si="12"/>
        <v>496</v>
      </c>
      <c r="BN368" s="15">
        <f t="shared" si="11"/>
        <v>102</v>
      </c>
      <c r="BO368" s="6"/>
      <c r="BP368" s="6" t="s">
        <v>24</v>
      </c>
      <c r="BQ368" s="6">
        <v>598</v>
      </c>
      <c r="BR368" s="6" t="s">
        <v>24</v>
      </c>
      <c r="BS368" s="6">
        <v>340</v>
      </c>
      <c r="BT368" s="6" t="s">
        <v>25</v>
      </c>
      <c r="BU368" s="6">
        <v>668</v>
      </c>
      <c r="BV368" s="6" t="s">
        <v>26</v>
      </c>
      <c r="BW368" s="6">
        <v>3738</v>
      </c>
      <c r="BX368" s="6">
        <v>-8.27022326618443e-5</v>
      </c>
      <c r="BY368" s="6">
        <v>-0.000100633705751552</v>
      </c>
      <c r="BZ368" s="6">
        <v>2.49687568560494</v>
      </c>
    </row>
    <row r="369" spans="1:78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18"/>
      <c r="AZ369" s="18"/>
      <c r="BA369" s="6" t="s">
        <v>24</v>
      </c>
      <c r="BB369" s="6">
        <v>598</v>
      </c>
      <c r="BC369" s="6" t="s">
        <v>24</v>
      </c>
      <c r="BD369" s="6">
        <v>340</v>
      </c>
      <c r="BE369" s="6" t="s">
        <v>25</v>
      </c>
      <c r="BF369" s="6">
        <v>576</v>
      </c>
      <c r="BG369" s="6" t="s">
        <v>26</v>
      </c>
      <c r="BH369" s="6">
        <v>3174</v>
      </c>
      <c r="BI369" s="6">
        <v>-0.810939196802888</v>
      </c>
      <c r="BJ369" s="6">
        <v>-0.721502303120621</v>
      </c>
      <c r="BK369" s="6">
        <v>1.88048732503231</v>
      </c>
      <c r="BL369" s="18"/>
      <c r="BM369" s="4">
        <f t="shared" si="12"/>
        <v>541.08</v>
      </c>
      <c r="BN369" s="15">
        <f t="shared" ref="BN369:BN428" si="13">ABS(BB369-BM369)</f>
        <v>56.9200000000001</v>
      </c>
      <c r="BO369" s="6"/>
      <c r="BP369" s="6" t="s">
        <v>24</v>
      </c>
      <c r="BQ369" s="6">
        <v>598</v>
      </c>
      <c r="BR369" s="6" t="s">
        <v>24</v>
      </c>
      <c r="BS369" s="6">
        <v>340</v>
      </c>
      <c r="BT369" s="6" t="s">
        <v>25</v>
      </c>
      <c r="BU369" s="6">
        <v>741</v>
      </c>
      <c r="BV369" s="6" t="s">
        <v>26</v>
      </c>
      <c r="BW369" s="6">
        <v>4164</v>
      </c>
      <c r="BX369" s="6">
        <v>-2.48343822638789e-5</v>
      </c>
      <c r="BY369" s="6">
        <v>-2.42468416323865e-5</v>
      </c>
      <c r="BZ369" s="6">
        <v>2.14267969062938</v>
      </c>
    </row>
    <row r="370" spans="1:78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18"/>
      <c r="AZ370" s="18"/>
      <c r="BA370" s="11" t="s">
        <v>24</v>
      </c>
      <c r="BB370" s="11">
        <v>598</v>
      </c>
      <c r="BC370" s="11" t="s">
        <v>24</v>
      </c>
      <c r="BD370" s="11">
        <v>340</v>
      </c>
      <c r="BE370" s="11" t="s">
        <v>25</v>
      </c>
      <c r="BF370" s="11">
        <v>625</v>
      </c>
      <c r="BG370" s="11" t="s">
        <v>26</v>
      </c>
      <c r="BH370" s="11">
        <v>3456</v>
      </c>
      <c r="BI370" s="11">
        <v>-0.126169193965315</v>
      </c>
      <c r="BJ370" s="11">
        <v>-0.115729626406444</v>
      </c>
      <c r="BK370" s="11">
        <v>2.89327431446408</v>
      </c>
      <c r="BL370" s="20"/>
      <c r="BM370" s="12">
        <f t="shared" si="12"/>
        <v>588.12</v>
      </c>
      <c r="BN370" s="15">
        <f t="shared" si="13"/>
        <v>9.87999999999988</v>
      </c>
      <c r="BO370" s="6"/>
      <c r="BP370" s="6" t="s">
        <v>24</v>
      </c>
      <c r="BQ370" s="6">
        <v>598</v>
      </c>
      <c r="BR370" s="6" t="s">
        <v>24</v>
      </c>
      <c r="BS370" s="6">
        <v>340</v>
      </c>
      <c r="BT370" s="6" t="s">
        <v>25</v>
      </c>
      <c r="BU370" s="6">
        <v>797</v>
      </c>
      <c r="BV370" s="6" t="s">
        <v>26</v>
      </c>
      <c r="BW370" s="6">
        <v>4488</v>
      </c>
      <c r="BX370" s="6">
        <v>-2.32328875395935e-5</v>
      </c>
      <c r="BY370" s="6">
        <v>-2.29398906928275e-5</v>
      </c>
      <c r="BZ370" s="6">
        <v>2.12419812284</v>
      </c>
    </row>
    <row r="371" spans="1:78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18"/>
      <c r="AZ371" s="18"/>
      <c r="BA371" s="6" t="s">
        <v>24</v>
      </c>
      <c r="BB371" s="6">
        <v>598</v>
      </c>
      <c r="BC371" s="6" t="s">
        <v>24</v>
      </c>
      <c r="BD371" s="6">
        <v>340</v>
      </c>
      <c r="BE371" s="6" t="s">
        <v>25</v>
      </c>
      <c r="BF371" s="6">
        <v>676</v>
      </c>
      <c r="BG371" s="6" t="s">
        <v>26</v>
      </c>
      <c r="BH371" s="6">
        <v>3750</v>
      </c>
      <c r="BI371" s="6">
        <v>-0.000127475383169185</v>
      </c>
      <c r="BJ371" s="6">
        <v>-0.000158826246781104</v>
      </c>
      <c r="BK371" s="6">
        <v>2.59871259656187</v>
      </c>
      <c r="BL371" s="18"/>
      <c r="BM371" s="4">
        <f t="shared" si="12"/>
        <v>637.12</v>
      </c>
      <c r="BN371" s="15">
        <f t="shared" si="13"/>
        <v>39.1200000000001</v>
      </c>
      <c r="BO371" s="6"/>
      <c r="BP371" s="6" t="s">
        <v>24</v>
      </c>
      <c r="BQ371" s="6">
        <v>598</v>
      </c>
      <c r="BR371" s="6" t="s">
        <v>24</v>
      </c>
      <c r="BS371" s="6">
        <v>340</v>
      </c>
      <c r="BT371" s="6" t="s">
        <v>25</v>
      </c>
      <c r="BU371" s="6">
        <v>861</v>
      </c>
      <c r="BV371" s="6" t="s">
        <v>26</v>
      </c>
      <c r="BW371" s="6">
        <v>4860</v>
      </c>
      <c r="BX371" s="6">
        <v>-1.31013057836285e-5</v>
      </c>
      <c r="BY371" s="6">
        <v>-1.27533052127693e-5</v>
      </c>
      <c r="BZ371" s="6">
        <v>1.98888459954732</v>
      </c>
    </row>
    <row r="372" spans="1:78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18"/>
      <c r="AZ372" s="18"/>
      <c r="BA372" s="6" t="s">
        <v>24</v>
      </c>
      <c r="BB372" s="6">
        <v>598</v>
      </c>
      <c r="BC372" s="6" t="s">
        <v>24</v>
      </c>
      <c r="BD372" s="6">
        <v>340</v>
      </c>
      <c r="BE372" s="6" t="s">
        <v>25</v>
      </c>
      <c r="BF372" s="6">
        <v>729</v>
      </c>
      <c r="BG372" s="6" t="s">
        <v>26</v>
      </c>
      <c r="BH372" s="6">
        <v>4056</v>
      </c>
      <c r="BI372" s="6">
        <v>-6.58607982923482e-5</v>
      </c>
      <c r="BJ372" s="6">
        <v>-6.50615931096624e-5</v>
      </c>
      <c r="BK372" s="6">
        <v>2.36006718699346</v>
      </c>
      <c r="BL372" s="18"/>
      <c r="BM372" s="4">
        <f t="shared" si="12"/>
        <v>688.08</v>
      </c>
      <c r="BN372" s="15">
        <f t="shared" si="13"/>
        <v>90.08</v>
      </c>
      <c r="BO372" s="6"/>
      <c r="BP372" s="6" t="s">
        <v>24</v>
      </c>
      <c r="BQ372" s="6">
        <v>598</v>
      </c>
      <c r="BR372" s="6" t="s">
        <v>24</v>
      </c>
      <c r="BS372" s="6">
        <v>340</v>
      </c>
      <c r="BT372" s="6" t="s">
        <v>25</v>
      </c>
      <c r="BU372" s="6">
        <v>927</v>
      </c>
      <c r="BV372" s="6" t="s">
        <v>26</v>
      </c>
      <c r="BW372" s="6">
        <v>5244</v>
      </c>
      <c r="BX372" s="6">
        <v>-6.96950786301954e-6</v>
      </c>
      <c r="BY372" s="6">
        <v>-7.45839224167517e-6</v>
      </c>
      <c r="BZ372" s="6">
        <v>1.89903298224856</v>
      </c>
    </row>
    <row r="373" spans="1:78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18"/>
      <c r="AZ373" s="18"/>
      <c r="BA373" s="6" t="s">
        <v>24</v>
      </c>
      <c r="BB373" s="6">
        <v>598</v>
      </c>
      <c r="BC373" s="6" t="s">
        <v>24</v>
      </c>
      <c r="BD373" s="6">
        <v>340</v>
      </c>
      <c r="BE373" s="6" t="s">
        <v>25</v>
      </c>
      <c r="BF373" s="6">
        <v>784</v>
      </c>
      <c r="BG373" s="6" t="s">
        <v>26</v>
      </c>
      <c r="BH373" s="6">
        <v>4374</v>
      </c>
      <c r="BI373" s="6">
        <v>-2.38867500480166e-5</v>
      </c>
      <c r="BJ373" s="6">
        <v>-2.41040514809696e-5</v>
      </c>
      <c r="BK373" s="6">
        <v>2.15458350299147</v>
      </c>
      <c r="BL373" s="18"/>
      <c r="BM373" s="4">
        <f t="shared" si="12"/>
        <v>744.855</v>
      </c>
      <c r="BN373" s="15">
        <f t="shared" si="13"/>
        <v>146.855</v>
      </c>
      <c r="BO373" s="6"/>
      <c r="BP373" s="6" t="s">
        <v>24</v>
      </c>
      <c r="BQ373" s="6">
        <v>598</v>
      </c>
      <c r="BR373" s="6" t="s">
        <v>24</v>
      </c>
      <c r="BS373" s="6">
        <v>340</v>
      </c>
      <c r="BT373" s="6" t="s">
        <v>25</v>
      </c>
      <c r="BU373" s="6">
        <v>977</v>
      </c>
      <c r="BV373" s="6" t="s">
        <v>26</v>
      </c>
      <c r="BW373" s="6">
        <v>5532</v>
      </c>
      <c r="BX373" s="6">
        <v>-6.10860712526878e-6</v>
      </c>
      <c r="BY373" s="6">
        <v>-6.65190919851437e-6</v>
      </c>
      <c r="BZ373" s="6">
        <v>1.87651806081232</v>
      </c>
    </row>
    <row r="374" spans="1:78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18"/>
      <c r="AZ374" s="18"/>
      <c r="BA374" s="6" t="s">
        <v>24</v>
      </c>
      <c r="BB374" s="6">
        <v>598</v>
      </c>
      <c r="BC374" s="6" t="s">
        <v>24</v>
      </c>
      <c r="BD374" s="6">
        <v>340</v>
      </c>
      <c r="BE374" s="6" t="s">
        <v>25</v>
      </c>
      <c r="BF374" s="6">
        <v>841</v>
      </c>
      <c r="BG374" s="6" t="s">
        <v>26</v>
      </c>
      <c r="BH374" s="6">
        <v>4704</v>
      </c>
      <c r="BI374" s="6">
        <v>-1.8534965776223e-5</v>
      </c>
      <c r="BJ374" s="6">
        <v>-1.86987959327172e-5</v>
      </c>
      <c r="BK374" s="6">
        <v>2.098662154983</v>
      </c>
      <c r="BL374" s="18"/>
      <c r="BM374" s="4">
        <f t="shared" si="12"/>
        <v>799.875</v>
      </c>
      <c r="BN374" s="15">
        <f t="shared" si="13"/>
        <v>201.875</v>
      </c>
      <c r="BO374" s="6"/>
      <c r="BP374" s="6" t="s">
        <v>24</v>
      </c>
      <c r="BQ374" s="6">
        <v>598</v>
      </c>
      <c r="BR374" s="6" t="s">
        <v>24</v>
      </c>
      <c r="BS374" s="6">
        <v>340</v>
      </c>
      <c r="BT374" s="6" t="s">
        <v>25</v>
      </c>
      <c r="BU374" s="6">
        <v>1034</v>
      </c>
      <c r="BV374" s="6" t="s">
        <v>26</v>
      </c>
      <c r="BW374" s="6">
        <v>5862</v>
      </c>
      <c r="BX374" s="6">
        <v>-6.4782662906136e-6</v>
      </c>
      <c r="BY374" s="6">
        <v>-6.26488104153508e-6</v>
      </c>
      <c r="BZ374" s="6">
        <v>1.83547247800891</v>
      </c>
    </row>
    <row r="375" spans="1:78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8"/>
      <c r="AZ375" s="18"/>
      <c r="BA375" s="6" t="s">
        <v>24</v>
      </c>
      <c r="BB375" s="6">
        <v>598</v>
      </c>
      <c r="BC375" s="6" t="s">
        <v>24</v>
      </c>
      <c r="BD375" s="6">
        <v>340</v>
      </c>
      <c r="BE375" s="6" t="s">
        <v>25</v>
      </c>
      <c r="BF375" s="6">
        <v>900</v>
      </c>
      <c r="BG375" s="6" t="s">
        <v>26</v>
      </c>
      <c r="BH375" s="6">
        <v>5046</v>
      </c>
      <c r="BI375" s="6">
        <v>-1.18202843751873e-5</v>
      </c>
      <c r="BJ375" s="6">
        <v>-1.17937362430753e-5</v>
      </c>
      <c r="BK375" s="6">
        <v>1.99279668358678</v>
      </c>
      <c r="BL375" s="18"/>
      <c r="BM375" s="4">
        <f t="shared" si="12"/>
        <v>856.855</v>
      </c>
      <c r="BN375" s="15">
        <f t="shared" si="13"/>
        <v>258.855</v>
      </c>
      <c r="BO375" s="6"/>
      <c r="BP375" s="6" t="s">
        <v>24</v>
      </c>
      <c r="BQ375" s="6">
        <v>598</v>
      </c>
      <c r="BR375" s="6" t="s">
        <v>24</v>
      </c>
      <c r="BS375" s="6">
        <v>340</v>
      </c>
      <c r="BT375" s="6" t="s">
        <v>25</v>
      </c>
      <c r="BU375" s="6">
        <v>1085</v>
      </c>
      <c r="BV375" s="6" t="s">
        <v>26</v>
      </c>
      <c r="BW375" s="6">
        <v>6156</v>
      </c>
      <c r="BX375" s="6">
        <v>-5.10622045344689e-6</v>
      </c>
      <c r="BY375" s="6">
        <v>-5.38582154681798e-6</v>
      </c>
      <c r="BZ375" s="6">
        <v>1.82837873279809</v>
      </c>
    </row>
    <row r="376" spans="1:78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8"/>
      <c r="AZ376" s="18"/>
      <c r="BA376" s="6" t="s">
        <v>24</v>
      </c>
      <c r="BB376" s="6">
        <v>598</v>
      </c>
      <c r="BC376" s="6" t="s">
        <v>24</v>
      </c>
      <c r="BD376" s="6">
        <v>340</v>
      </c>
      <c r="BE376" s="6" t="s">
        <v>25</v>
      </c>
      <c r="BF376" s="6">
        <v>961</v>
      </c>
      <c r="BG376" s="6" t="s">
        <v>26</v>
      </c>
      <c r="BH376" s="6">
        <v>5400</v>
      </c>
      <c r="BI376" s="6">
        <v>-9.4364126659429e-6</v>
      </c>
      <c r="BJ376" s="6">
        <v>-9.50501467855234e-6</v>
      </c>
      <c r="BK376" s="6">
        <v>1.94724989621593</v>
      </c>
      <c r="BL376" s="18"/>
      <c r="BM376" s="4">
        <f t="shared" si="12"/>
        <v>915.795</v>
      </c>
      <c r="BN376" s="15">
        <f t="shared" si="13"/>
        <v>317.795</v>
      </c>
      <c r="BO376" s="6"/>
      <c r="BP376" s="6" t="s">
        <v>24</v>
      </c>
      <c r="BQ376" s="6">
        <v>598</v>
      </c>
      <c r="BR376" s="6" t="s">
        <v>24</v>
      </c>
      <c r="BS376" s="6">
        <v>340</v>
      </c>
      <c r="BT376" s="6" t="s">
        <v>25</v>
      </c>
      <c r="BU376" s="6">
        <v>1177</v>
      </c>
      <c r="BV376" s="6" t="s">
        <v>26</v>
      </c>
      <c r="BW376" s="6">
        <v>6696</v>
      </c>
      <c r="BX376" s="6">
        <v>-3.33438256777684e-6</v>
      </c>
      <c r="BY376" s="6">
        <v>-3.5888652388049e-6</v>
      </c>
      <c r="BZ376" s="6">
        <v>1.74263164835546</v>
      </c>
    </row>
    <row r="377" spans="1:78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6" t="s">
        <v>24</v>
      </c>
      <c r="BB377" s="6">
        <v>598</v>
      </c>
      <c r="BC377" s="6" t="s">
        <v>24</v>
      </c>
      <c r="BD377" s="6">
        <v>340</v>
      </c>
      <c r="BE377" s="6" t="s">
        <v>25</v>
      </c>
      <c r="BF377" s="6">
        <v>1024</v>
      </c>
      <c r="BG377" s="6" t="s">
        <v>26</v>
      </c>
      <c r="BH377" s="6">
        <v>5766</v>
      </c>
      <c r="BI377" s="6">
        <v>-7.4499893801667e-6</v>
      </c>
      <c r="BJ377" s="6">
        <v>-7.57759211647438e-6</v>
      </c>
      <c r="BK377" s="6">
        <v>1.89885289608936</v>
      </c>
      <c r="BL377" s="18"/>
      <c r="BM377" s="4">
        <f t="shared" si="12"/>
        <v>976.695</v>
      </c>
      <c r="BN377" s="15">
        <f t="shared" si="13"/>
        <v>378.695</v>
      </c>
      <c r="BO377" s="6"/>
      <c r="BP377" s="6" t="s">
        <v>24</v>
      </c>
      <c r="BQ377" s="6">
        <v>598</v>
      </c>
      <c r="BR377" s="6" t="s">
        <v>24</v>
      </c>
      <c r="BS377" s="6">
        <v>340</v>
      </c>
      <c r="BT377" s="6" t="s">
        <v>25</v>
      </c>
      <c r="BU377" s="6">
        <v>1243</v>
      </c>
      <c r="BV377" s="6" t="s">
        <v>26</v>
      </c>
      <c r="BW377" s="6">
        <v>7080</v>
      </c>
      <c r="BX377" s="6">
        <v>-3.36120390529528e-6</v>
      </c>
      <c r="BY377" s="6">
        <v>-3.42754571437203e-6</v>
      </c>
      <c r="BZ377" s="6">
        <v>1.71878464359689</v>
      </c>
    </row>
    <row r="378" spans="1: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18"/>
      <c r="AZ378" s="18"/>
      <c r="BA378" s="6" t="s">
        <v>24</v>
      </c>
      <c r="BB378" s="6">
        <v>598</v>
      </c>
      <c r="BC378" s="6" t="s">
        <v>24</v>
      </c>
      <c r="BD378" s="6">
        <v>340</v>
      </c>
      <c r="BE378" s="6" t="s">
        <v>25</v>
      </c>
      <c r="BF378" s="6">
        <v>1089</v>
      </c>
      <c r="BG378" s="6" t="s">
        <v>26</v>
      </c>
      <c r="BH378" s="6">
        <v>6144</v>
      </c>
      <c r="BI378" s="6">
        <v>-6.18096142704368e-6</v>
      </c>
      <c r="BJ378" s="6">
        <v>-6.1524443447011e-6</v>
      </c>
      <c r="BK378" s="6">
        <v>1.84720379156537</v>
      </c>
      <c r="BL378" s="18"/>
      <c r="BM378" s="4">
        <f t="shared" si="12"/>
        <v>1039.555</v>
      </c>
      <c r="BN378" s="15">
        <f t="shared" si="13"/>
        <v>441.555</v>
      </c>
      <c r="BO378" s="6"/>
      <c r="BP378" s="6" t="s">
        <v>24</v>
      </c>
      <c r="BQ378" s="6">
        <v>598</v>
      </c>
      <c r="BR378" s="6" t="s">
        <v>24</v>
      </c>
      <c r="BS378" s="6">
        <v>340</v>
      </c>
      <c r="BT378" s="6" t="s">
        <v>25</v>
      </c>
      <c r="BU378" s="6">
        <v>1325</v>
      </c>
      <c r="BV378" s="6" t="s">
        <v>26</v>
      </c>
      <c r="BW378" s="6">
        <v>7560</v>
      </c>
      <c r="BX378" s="6">
        <v>-3.09300013617957e-6</v>
      </c>
      <c r="BY378" s="6">
        <v>-3.09745915582059e-6</v>
      </c>
      <c r="BZ378" s="6">
        <v>1.69216044839444</v>
      </c>
    </row>
    <row r="379" spans="1:78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18"/>
      <c r="AZ379" s="18"/>
      <c r="BA379" s="10" t="s">
        <v>42</v>
      </c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8"/>
      <c r="BM379" s="4"/>
      <c r="BN379" s="15"/>
      <c r="BO379" s="6"/>
      <c r="BP379" s="10" t="s">
        <v>42</v>
      </c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</row>
    <row r="380" ht="23.25" spans="1:78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18"/>
      <c r="AZ380" s="18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8"/>
      <c r="BM380" s="4"/>
      <c r="BN380" s="15"/>
      <c r="BO380" s="3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</row>
    <row r="381" ht="23.25" spans="1:78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18"/>
      <c r="AZ381" s="18"/>
      <c r="BA381" s="6" t="s">
        <v>12</v>
      </c>
      <c r="BB381" s="6" t="s">
        <v>13</v>
      </c>
      <c r="BC381" s="6" t="s">
        <v>14</v>
      </c>
      <c r="BD381" s="6" t="s">
        <v>15</v>
      </c>
      <c r="BE381" s="6" t="s">
        <v>16</v>
      </c>
      <c r="BF381" s="6" t="s">
        <v>17</v>
      </c>
      <c r="BG381" s="6" t="s">
        <v>18</v>
      </c>
      <c r="BH381" s="6" t="s">
        <v>19</v>
      </c>
      <c r="BI381" s="6" t="s">
        <v>20</v>
      </c>
      <c r="BJ381" s="6" t="s">
        <v>21</v>
      </c>
      <c r="BK381" s="6" t="s">
        <v>22</v>
      </c>
      <c r="BL381" s="18"/>
      <c r="BM381" s="4"/>
      <c r="BN381" s="15"/>
      <c r="BO381" s="3"/>
      <c r="BP381" s="6" t="s">
        <v>12</v>
      </c>
      <c r="BQ381" s="6" t="s">
        <v>13</v>
      </c>
      <c r="BR381" s="6" t="s">
        <v>14</v>
      </c>
      <c r="BS381" s="6" t="s">
        <v>15</v>
      </c>
      <c r="BT381" s="6" t="s">
        <v>16</v>
      </c>
      <c r="BU381" s="6" t="s">
        <v>17</v>
      </c>
      <c r="BV381" s="6" t="s">
        <v>18</v>
      </c>
      <c r="BW381" s="6" t="s">
        <v>19</v>
      </c>
      <c r="BX381" s="6" t="s">
        <v>20</v>
      </c>
      <c r="BY381" s="6" t="s">
        <v>21</v>
      </c>
      <c r="BZ381" s="6" t="s">
        <v>22</v>
      </c>
    </row>
    <row r="382" spans="1:78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18"/>
      <c r="AZ382" s="18"/>
      <c r="BA382" s="6" t="s">
        <v>24</v>
      </c>
      <c r="BB382" s="6">
        <v>668</v>
      </c>
      <c r="BC382" s="6" t="s">
        <v>24</v>
      </c>
      <c r="BD382" s="6">
        <v>340</v>
      </c>
      <c r="BE382" s="6" t="s">
        <v>25</v>
      </c>
      <c r="BF382" s="6">
        <v>529</v>
      </c>
      <c r="BG382" s="6" t="s">
        <v>26</v>
      </c>
      <c r="BH382" s="6">
        <v>2904</v>
      </c>
      <c r="BI382" s="6">
        <v>-2.20165923408586</v>
      </c>
      <c r="BJ382" s="6">
        <v>-1.82914948886579</v>
      </c>
      <c r="BK382" s="6">
        <v>0.421351798702124</v>
      </c>
      <c r="BL382" s="18"/>
      <c r="BM382" s="4">
        <f t="shared" si="12"/>
        <v>496</v>
      </c>
      <c r="BN382" s="15">
        <f t="shared" si="13"/>
        <v>172</v>
      </c>
      <c r="BO382" s="4"/>
      <c r="BP382" s="6" t="s">
        <v>24</v>
      </c>
      <c r="BQ382" s="6">
        <v>668</v>
      </c>
      <c r="BR382" s="6" t="s">
        <v>24</v>
      </c>
      <c r="BS382" s="6">
        <v>340</v>
      </c>
      <c r="BT382" s="6" t="s">
        <v>25</v>
      </c>
      <c r="BU382" s="6">
        <v>668</v>
      </c>
      <c r="BV382" s="6" t="s">
        <v>26</v>
      </c>
      <c r="BW382" s="6">
        <v>3738</v>
      </c>
      <c r="BX382" s="6">
        <v>-0.0216333794226224</v>
      </c>
      <c r="BY382" s="6">
        <v>-0.017715129532842</v>
      </c>
      <c r="BZ382" s="6">
        <v>2.93999337813929</v>
      </c>
    </row>
    <row r="383" spans="1:78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18"/>
      <c r="AZ383" s="18"/>
      <c r="BA383" s="6" t="s">
        <v>24</v>
      </c>
      <c r="BB383" s="6">
        <v>668</v>
      </c>
      <c r="BC383" s="6" t="s">
        <v>24</v>
      </c>
      <c r="BD383" s="6">
        <v>340</v>
      </c>
      <c r="BE383" s="6" t="s">
        <v>25</v>
      </c>
      <c r="BF383" s="6">
        <v>576</v>
      </c>
      <c r="BG383" s="6" t="s">
        <v>26</v>
      </c>
      <c r="BH383" s="6">
        <v>3174</v>
      </c>
      <c r="BI383" s="6">
        <v>-1.58058705907735</v>
      </c>
      <c r="BJ383" s="6">
        <v>-1.33774240042989</v>
      </c>
      <c r="BK383" s="6">
        <v>1.18946695243175</v>
      </c>
      <c r="BL383" s="18"/>
      <c r="BM383" s="4">
        <f t="shared" si="12"/>
        <v>541.08</v>
      </c>
      <c r="BN383" s="15">
        <f t="shared" si="13"/>
        <v>126.92</v>
      </c>
      <c r="BO383" s="6"/>
      <c r="BP383" s="6" t="s">
        <v>24</v>
      </c>
      <c r="BQ383" s="6">
        <v>668</v>
      </c>
      <c r="BR383" s="6" t="s">
        <v>24</v>
      </c>
      <c r="BS383" s="6">
        <v>340</v>
      </c>
      <c r="BT383" s="6" t="s">
        <v>25</v>
      </c>
      <c r="BU383" s="6">
        <v>741</v>
      </c>
      <c r="BV383" s="6" t="s">
        <v>26</v>
      </c>
      <c r="BW383" s="6">
        <v>4164</v>
      </c>
      <c r="BX383" s="6">
        <v>-6.04172370085018e-5</v>
      </c>
      <c r="BY383" s="6">
        <v>-7.93774115948628e-5</v>
      </c>
      <c r="BZ383" s="6">
        <v>2.45105564717219</v>
      </c>
    </row>
    <row r="384" spans="1:78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18"/>
      <c r="AZ384" s="18"/>
      <c r="BA384" s="6" t="s">
        <v>24</v>
      </c>
      <c r="BB384" s="6">
        <v>668</v>
      </c>
      <c r="BC384" s="6" t="s">
        <v>24</v>
      </c>
      <c r="BD384" s="6">
        <v>340</v>
      </c>
      <c r="BE384" s="6" t="s">
        <v>25</v>
      </c>
      <c r="BF384" s="6">
        <v>625</v>
      </c>
      <c r="BG384" s="6" t="s">
        <v>26</v>
      </c>
      <c r="BH384" s="6">
        <v>3456</v>
      </c>
      <c r="BI384" s="6">
        <v>-0.633821552103573</v>
      </c>
      <c r="BJ384" s="6">
        <v>-0.570326852176399</v>
      </c>
      <c r="BK384" s="6">
        <v>2.19306007584933</v>
      </c>
      <c r="BL384" s="18"/>
      <c r="BM384" s="4">
        <f t="shared" si="12"/>
        <v>588.12</v>
      </c>
      <c r="BN384" s="15">
        <f t="shared" si="13"/>
        <v>79.8799999999999</v>
      </c>
      <c r="BO384" s="6"/>
      <c r="BP384" s="6" t="s">
        <v>24</v>
      </c>
      <c r="BQ384" s="6">
        <v>668</v>
      </c>
      <c r="BR384" s="6" t="s">
        <v>24</v>
      </c>
      <c r="BS384" s="6">
        <v>340</v>
      </c>
      <c r="BT384" s="6" t="s">
        <v>25</v>
      </c>
      <c r="BU384" s="6">
        <v>797</v>
      </c>
      <c r="BV384" s="6" t="s">
        <v>26</v>
      </c>
      <c r="BW384" s="6">
        <v>4488</v>
      </c>
      <c r="BX384" s="6">
        <v>-4.47201922387e-5</v>
      </c>
      <c r="BY384" s="6">
        <v>-4.25307505976836e-5</v>
      </c>
      <c r="BZ384" s="6">
        <v>2.25470493662446</v>
      </c>
    </row>
    <row r="385" spans="1:78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18"/>
      <c r="AZ385" s="18"/>
      <c r="BA385" s="6" t="s">
        <v>24</v>
      </c>
      <c r="BB385" s="6">
        <v>668</v>
      </c>
      <c r="BC385" s="6" t="s">
        <v>24</v>
      </c>
      <c r="BD385" s="6">
        <v>340</v>
      </c>
      <c r="BE385" s="6" t="s">
        <v>25</v>
      </c>
      <c r="BF385" s="6">
        <v>676</v>
      </c>
      <c r="BG385" s="6" t="s">
        <v>26</v>
      </c>
      <c r="BH385" s="6">
        <v>3750</v>
      </c>
      <c r="BI385" s="6">
        <v>-0.00184085501629961</v>
      </c>
      <c r="BJ385" s="6">
        <v>-0.00179256889102183</v>
      </c>
      <c r="BK385" s="6">
        <v>3.03431401246362</v>
      </c>
      <c r="BL385" s="18"/>
      <c r="BM385" s="4">
        <f t="shared" si="12"/>
        <v>637.12</v>
      </c>
      <c r="BN385" s="15">
        <f t="shared" si="13"/>
        <v>30.8799999999999</v>
      </c>
      <c r="BO385" s="6"/>
      <c r="BP385" s="6" t="s">
        <v>24</v>
      </c>
      <c r="BQ385" s="6">
        <v>668</v>
      </c>
      <c r="BR385" s="6" t="s">
        <v>24</v>
      </c>
      <c r="BS385" s="6">
        <v>340</v>
      </c>
      <c r="BT385" s="6" t="s">
        <v>25</v>
      </c>
      <c r="BU385" s="6">
        <v>861</v>
      </c>
      <c r="BV385" s="6" t="s">
        <v>26</v>
      </c>
      <c r="BW385" s="6">
        <v>4860</v>
      </c>
      <c r="BX385" s="6">
        <v>-3.18846441728249e-5</v>
      </c>
      <c r="BY385" s="6">
        <v>-2.98247139105499e-5</v>
      </c>
      <c r="BZ385" s="6">
        <v>2.17067699546228</v>
      </c>
    </row>
    <row r="386" spans="1:78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18"/>
      <c r="AZ386" s="18"/>
      <c r="BA386" s="11" t="s">
        <v>24</v>
      </c>
      <c r="BB386" s="11">
        <v>668</v>
      </c>
      <c r="BC386" s="11" t="s">
        <v>24</v>
      </c>
      <c r="BD386" s="11">
        <v>340</v>
      </c>
      <c r="BE386" s="11" t="s">
        <v>25</v>
      </c>
      <c r="BF386" s="11">
        <v>729</v>
      </c>
      <c r="BG386" s="11" t="s">
        <v>26</v>
      </c>
      <c r="BH386" s="11">
        <v>4056</v>
      </c>
      <c r="BI386" s="11">
        <v>-0.000219039263421996</v>
      </c>
      <c r="BJ386" s="11">
        <v>-0.000197850988337157</v>
      </c>
      <c r="BK386" s="11">
        <v>2.56935701690071</v>
      </c>
      <c r="BL386" s="20"/>
      <c r="BM386" s="12">
        <f t="shared" si="12"/>
        <v>688.08</v>
      </c>
      <c r="BN386" s="15">
        <f t="shared" si="13"/>
        <v>20.08</v>
      </c>
      <c r="BO386" s="6"/>
      <c r="BP386" s="6" t="s">
        <v>24</v>
      </c>
      <c r="BQ386" s="6">
        <v>668</v>
      </c>
      <c r="BR386" s="6" t="s">
        <v>24</v>
      </c>
      <c r="BS386" s="6">
        <v>340</v>
      </c>
      <c r="BT386" s="6" t="s">
        <v>25</v>
      </c>
      <c r="BU386" s="6">
        <v>927</v>
      </c>
      <c r="BV386" s="6" t="s">
        <v>26</v>
      </c>
      <c r="BW386" s="6">
        <v>5244</v>
      </c>
      <c r="BX386" s="6">
        <v>-1.26421617707881e-5</v>
      </c>
      <c r="BY386" s="6">
        <v>-1.37574758598865e-5</v>
      </c>
      <c r="BZ386" s="6">
        <v>2.04079796543144</v>
      </c>
    </row>
    <row r="387" spans="1:78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18"/>
      <c r="AZ387" s="18"/>
      <c r="BA387" s="6" t="s">
        <v>24</v>
      </c>
      <c r="BB387" s="6">
        <v>668</v>
      </c>
      <c r="BC387" s="6" t="s">
        <v>24</v>
      </c>
      <c r="BD387" s="6">
        <v>340</v>
      </c>
      <c r="BE387" s="6" t="s">
        <v>25</v>
      </c>
      <c r="BF387" s="6">
        <v>784</v>
      </c>
      <c r="BG387" s="6" t="s">
        <v>26</v>
      </c>
      <c r="BH387" s="6">
        <v>4374</v>
      </c>
      <c r="BI387" s="6">
        <v>-7.22794911119617e-5</v>
      </c>
      <c r="BJ387" s="6">
        <v>-6.67269577624169e-5</v>
      </c>
      <c r="BK387" s="6">
        <v>2.34447339054746</v>
      </c>
      <c r="BL387" s="18"/>
      <c r="BM387" s="4">
        <f t="shared" si="12"/>
        <v>744.855</v>
      </c>
      <c r="BN387" s="15">
        <f t="shared" si="13"/>
        <v>76.855</v>
      </c>
      <c r="BO387" s="6"/>
      <c r="BP387" s="6" t="s">
        <v>24</v>
      </c>
      <c r="BQ387" s="6">
        <v>668</v>
      </c>
      <c r="BR387" s="6" t="s">
        <v>24</v>
      </c>
      <c r="BS387" s="6">
        <v>340</v>
      </c>
      <c r="BT387" s="6" t="s">
        <v>25</v>
      </c>
      <c r="BU387" s="6">
        <v>977</v>
      </c>
      <c r="BV387" s="6" t="s">
        <v>26</v>
      </c>
      <c r="BW387" s="6">
        <v>5532</v>
      </c>
      <c r="BX387" s="6">
        <v>-9.75159418362432e-6</v>
      </c>
      <c r="BY387" s="6">
        <v>-9.73919707841121e-6</v>
      </c>
      <c r="BZ387" s="6">
        <v>1.94470909818859</v>
      </c>
    </row>
    <row r="388" spans="1:7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18"/>
      <c r="AZ388" s="18"/>
      <c r="BA388" s="6" t="s">
        <v>24</v>
      </c>
      <c r="BB388" s="6">
        <v>668</v>
      </c>
      <c r="BC388" s="6" t="s">
        <v>24</v>
      </c>
      <c r="BD388" s="6">
        <v>340</v>
      </c>
      <c r="BE388" s="6" t="s">
        <v>25</v>
      </c>
      <c r="BF388" s="6">
        <v>841</v>
      </c>
      <c r="BG388" s="6" t="s">
        <v>26</v>
      </c>
      <c r="BH388" s="6">
        <v>4704</v>
      </c>
      <c r="BI388" s="6">
        <v>-3.76633249539329e-5</v>
      </c>
      <c r="BJ388" s="6">
        <v>-3.73674113241267e-5</v>
      </c>
      <c r="BK388" s="6">
        <v>2.23916398184337</v>
      </c>
      <c r="BL388" s="18"/>
      <c r="BM388" s="4">
        <f t="shared" si="12"/>
        <v>799.875</v>
      </c>
      <c r="BN388" s="15">
        <f t="shared" si="13"/>
        <v>131.875</v>
      </c>
      <c r="BO388" s="6"/>
      <c r="BP388" s="6" t="s">
        <v>24</v>
      </c>
      <c r="BQ388" s="6">
        <v>668</v>
      </c>
      <c r="BR388" s="6" t="s">
        <v>24</v>
      </c>
      <c r="BS388" s="6">
        <v>340</v>
      </c>
      <c r="BT388" s="6" t="s">
        <v>25</v>
      </c>
      <c r="BU388" s="6">
        <v>1034</v>
      </c>
      <c r="BV388" s="6" t="s">
        <v>26</v>
      </c>
      <c r="BW388" s="6">
        <v>5862</v>
      </c>
      <c r="BX388" s="6">
        <v>-9.03250811709037e-6</v>
      </c>
      <c r="BY388" s="6">
        <v>-8.97485774446152e-6</v>
      </c>
      <c r="BZ388" s="6">
        <v>1.92463426056013</v>
      </c>
    </row>
    <row r="389" spans="1:78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18"/>
      <c r="AZ389" s="18"/>
      <c r="BA389" s="6" t="s">
        <v>24</v>
      </c>
      <c r="BB389" s="6">
        <v>668</v>
      </c>
      <c r="BC389" s="6" t="s">
        <v>24</v>
      </c>
      <c r="BD389" s="6">
        <v>340</v>
      </c>
      <c r="BE389" s="6" t="s">
        <v>25</v>
      </c>
      <c r="BF389" s="6">
        <v>900</v>
      </c>
      <c r="BG389" s="6" t="s">
        <v>26</v>
      </c>
      <c r="BH389" s="6">
        <v>5046</v>
      </c>
      <c r="BI389" s="6">
        <v>-2.38291510194916e-5</v>
      </c>
      <c r="BJ389" s="6">
        <v>-2.31795533912809e-5</v>
      </c>
      <c r="BK389" s="6">
        <v>2.13263744626745</v>
      </c>
      <c r="BL389" s="18"/>
      <c r="BM389" s="4">
        <f t="shared" si="12"/>
        <v>856.855</v>
      </c>
      <c r="BN389" s="15">
        <f t="shared" si="13"/>
        <v>188.855</v>
      </c>
      <c r="BO389" s="6"/>
      <c r="BP389" s="6" t="s">
        <v>24</v>
      </c>
      <c r="BQ389" s="6">
        <v>668</v>
      </c>
      <c r="BR389" s="6" t="s">
        <v>24</v>
      </c>
      <c r="BS389" s="6">
        <v>340</v>
      </c>
      <c r="BT389" s="6" t="s">
        <v>25</v>
      </c>
      <c r="BU389" s="6">
        <v>1085</v>
      </c>
      <c r="BV389" s="6" t="s">
        <v>26</v>
      </c>
      <c r="BW389" s="6">
        <v>6156</v>
      </c>
      <c r="BX389" s="6">
        <v>-9.01642025786563e-6</v>
      </c>
      <c r="BY389" s="6">
        <v>-8.86032392129842e-6</v>
      </c>
      <c r="BZ389" s="6">
        <v>1.91883326914173</v>
      </c>
    </row>
    <row r="390" spans="1:78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18"/>
      <c r="AZ390" s="18"/>
      <c r="BA390" s="6" t="s">
        <v>24</v>
      </c>
      <c r="BB390" s="6">
        <v>668</v>
      </c>
      <c r="BC390" s="6" t="s">
        <v>24</v>
      </c>
      <c r="BD390" s="6">
        <v>340</v>
      </c>
      <c r="BE390" s="6" t="s">
        <v>25</v>
      </c>
      <c r="BF390" s="6">
        <v>961</v>
      </c>
      <c r="BG390" s="6" t="s">
        <v>26</v>
      </c>
      <c r="BH390" s="6">
        <v>5400</v>
      </c>
      <c r="BI390" s="6">
        <v>-2.05329646073823e-5</v>
      </c>
      <c r="BJ390" s="6">
        <v>-1.89423886648776e-5</v>
      </c>
      <c r="BK390" s="6">
        <v>2.072814665854</v>
      </c>
      <c r="BL390" s="18"/>
      <c r="BM390" s="4">
        <f t="shared" si="12"/>
        <v>915.795</v>
      </c>
      <c r="BN390" s="15">
        <f t="shared" si="13"/>
        <v>247.795</v>
      </c>
      <c r="BO390" s="6"/>
      <c r="BP390" s="6" t="s">
        <v>24</v>
      </c>
      <c r="BQ390" s="6">
        <v>668</v>
      </c>
      <c r="BR390" s="6" t="s">
        <v>24</v>
      </c>
      <c r="BS390" s="6">
        <v>340</v>
      </c>
      <c r="BT390" s="6" t="s">
        <v>25</v>
      </c>
      <c r="BU390" s="6">
        <v>1177</v>
      </c>
      <c r="BV390" s="6" t="s">
        <v>26</v>
      </c>
      <c r="BW390" s="6">
        <v>6696</v>
      </c>
      <c r="BX390" s="6">
        <v>-4.95025474582022e-6</v>
      </c>
      <c r="BY390" s="6">
        <v>-5.07362324511424e-6</v>
      </c>
      <c r="BZ390" s="6">
        <v>1.8088729131746</v>
      </c>
    </row>
    <row r="391" spans="1:78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6" t="s">
        <v>24</v>
      </c>
      <c r="BB391" s="6">
        <v>668</v>
      </c>
      <c r="BC391" s="6" t="s">
        <v>24</v>
      </c>
      <c r="BD391" s="6">
        <v>340</v>
      </c>
      <c r="BE391" s="6" t="s">
        <v>25</v>
      </c>
      <c r="BF391" s="6">
        <v>1024</v>
      </c>
      <c r="BG391" s="6" t="s">
        <v>26</v>
      </c>
      <c r="BH391" s="6">
        <v>5766</v>
      </c>
      <c r="BI391" s="6">
        <v>-1.31904841237337e-5</v>
      </c>
      <c r="BJ391" s="6">
        <v>-1.25733874048537e-5</v>
      </c>
      <c r="BK391" s="6">
        <v>1.99244547104087</v>
      </c>
      <c r="BL391" s="18"/>
      <c r="BM391" s="4">
        <f t="shared" si="12"/>
        <v>976.695</v>
      </c>
      <c r="BN391" s="15">
        <f t="shared" si="13"/>
        <v>308.695</v>
      </c>
      <c r="BO391" s="6"/>
      <c r="BP391" s="6" t="s">
        <v>24</v>
      </c>
      <c r="BQ391" s="6">
        <v>668</v>
      </c>
      <c r="BR391" s="6" t="s">
        <v>24</v>
      </c>
      <c r="BS391" s="6">
        <v>340</v>
      </c>
      <c r="BT391" s="6" t="s">
        <v>25</v>
      </c>
      <c r="BU391" s="6">
        <v>1243</v>
      </c>
      <c r="BV391" s="6" t="s">
        <v>26</v>
      </c>
      <c r="BW391" s="6">
        <v>7080</v>
      </c>
      <c r="BX391" s="6">
        <v>-6.06819628236781e-6</v>
      </c>
      <c r="BY391" s="6">
        <v>-5.70105545928238e-6</v>
      </c>
      <c r="BZ391" s="6">
        <v>1.81210584335755</v>
      </c>
    </row>
    <row r="392" spans="1:78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6" t="s">
        <v>24</v>
      </c>
      <c r="BB392" s="6">
        <v>668</v>
      </c>
      <c r="BC392" s="6" t="s">
        <v>24</v>
      </c>
      <c r="BD392" s="6">
        <v>340</v>
      </c>
      <c r="BE392" s="6" t="s">
        <v>25</v>
      </c>
      <c r="BF392" s="6">
        <v>1089</v>
      </c>
      <c r="BG392" s="6" t="s">
        <v>26</v>
      </c>
      <c r="BH392" s="6">
        <v>6144</v>
      </c>
      <c r="BI392" s="6">
        <v>-9.49922551112713e-6</v>
      </c>
      <c r="BJ392" s="6">
        <v>-9.55537598757706e-6</v>
      </c>
      <c r="BK392" s="6">
        <v>1.94753690006862</v>
      </c>
      <c r="BL392" s="18"/>
      <c r="BM392" s="4">
        <f t="shared" si="12"/>
        <v>1039.555</v>
      </c>
      <c r="BN392" s="15">
        <f t="shared" si="13"/>
        <v>371.555</v>
      </c>
      <c r="BO392" s="6"/>
      <c r="BP392" s="6" t="s">
        <v>24</v>
      </c>
      <c r="BQ392" s="6">
        <v>668</v>
      </c>
      <c r="BR392" s="6" t="s">
        <v>24</v>
      </c>
      <c r="BS392" s="6">
        <v>340</v>
      </c>
      <c r="BT392" s="6" t="s">
        <v>25</v>
      </c>
      <c r="BU392" s="6">
        <v>1325</v>
      </c>
      <c r="BV392" s="6" t="s">
        <v>26</v>
      </c>
      <c r="BW392" s="6">
        <v>7560</v>
      </c>
      <c r="BX392" s="6">
        <v>-5.37889802191819e-6</v>
      </c>
      <c r="BY392" s="6">
        <v>-5.10501176845242e-6</v>
      </c>
      <c r="BZ392" s="6">
        <v>1.78970567479148</v>
      </c>
    </row>
    <row r="393" spans="1:78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0" t="s">
        <v>43</v>
      </c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8"/>
      <c r="BM393" s="4"/>
      <c r="BN393" s="15"/>
      <c r="BO393" s="6"/>
      <c r="BP393" s="10" t="s">
        <v>43</v>
      </c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</row>
    <row r="394" ht="23.25" spans="1:78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8"/>
      <c r="BM394" s="4"/>
      <c r="BN394" s="15"/>
      <c r="BO394" s="3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</row>
    <row r="395" ht="23.25" spans="1:78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6" t="s">
        <v>12</v>
      </c>
      <c r="BB395" s="6" t="s">
        <v>13</v>
      </c>
      <c r="BC395" s="6" t="s">
        <v>14</v>
      </c>
      <c r="BD395" s="6" t="s">
        <v>15</v>
      </c>
      <c r="BE395" s="6" t="s">
        <v>16</v>
      </c>
      <c r="BF395" s="6" t="s">
        <v>17</v>
      </c>
      <c r="BG395" s="6" t="s">
        <v>18</v>
      </c>
      <c r="BH395" s="6" t="s">
        <v>19</v>
      </c>
      <c r="BI395" s="6" t="s">
        <v>20</v>
      </c>
      <c r="BJ395" s="6" t="s">
        <v>21</v>
      </c>
      <c r="BK395" s="6" t="s">
        <v>22</v>
      </c>
      <c r="BL395" s="18"/>
      <c r="BM395" s="4"/>
      <c r="BN395" s="15"/>
      <c r="BO395" s="3"/>
      <c r="BP395" s="6" t="s">
        <v>12</v>
      </c>
      <c r="BQ395" s="6" t="s">
        <v>13</v>
      </c>
      <c r="BR395" s="6" t="s">
        <v>14</v>
      </c>
      <c r="BS395" s="6" t="s">
        <v>15</v>
      </c>
      <c r="BT395" s="6" t="s">
        <v>16</v>
      </c>
      <c r="BU395" s="6" t="s">
        <v>17</v>
      </c>
      <c r="BV395" s="6" t="s">
        <v>18</v>
      </c>
      <c r="BW395" s="6" t="s">
        <v>19</v>
      </c>
      <c r="BX395" s="6" t="s">
        <v>20</v>
      </c>
      <c r="BY395" s="6" t="s">
        <v>21</v>
      </c>
      <c r="BZ395" s="6" t="s">
        <v>22</v>
      </c>
    </row>
    <row r="396" spans="1:78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6" t="s">
        <v>24</v>
      </c>
      <c r="BB396" s="6">
        <v>741</v>
      </c>
      <c r="BC396" s="6" t="s">
        <v>24</v>
      </c>
      <c r="BD396" s="6">
        <v>340</v>
      </c>
      <c r="BE396" s="6" t="s">
        <v>25</v>
      </c>
      <c r="BF396" s="6">
        <v>576</v>
      </c>
      <c r="BG396" s="6" t="s">
        <v>26</v>
      </c>
      <c r="BH396" s="6">
        <v>3174</v>
      </c>
      <c r="BI396" s="6">
        <v>-2.24867222576729</v>
      </c>
      <c r="BJ396" s="6">
        <v>-1.82349453175484</v>
      </c>
      <c r="BK396" s="6">
        <v>0.748220103932948</v>
      </c>
      <c r="BL396" s="18"/>
      <c r="BM396" s="4">
        <f t="shared" si="12"/>
        <v>541.08</v>
      </c>
      <c r="BN396" s="15">
        <f t="shared" si="13"/>
        <v>199.92</v>
      </c>
      <c r="BO396" s="4"/>
      <c r="BP396" s="6" t="s">
        <v>24</v>
      </c>
      <c r="BQ396" s="6">
        <v>741</v>
      </c>
      <c r="BR396" s="6" t="s">
        <v>24</v>
      </c>
      <c r="BS396" s="6">
        <v>340</v>
      </c>
      <c r="BT396" s="6" t="s">
        <v>25</v>
      </c>
      <c r="BU396" s="6">
        <v>741</v>
      </c>
      <c r="BV396" s="6" t="s">
        <v>26</v>
      </c>
      <c r="BW396" s="6">
        <v>4164</v>
      </c>
      <c r="BX396" s="6">
        <v>-0.00024621059297094</v>
      </c>
      <c r="BY396" s="6">
        <v>-0.000270999423431078</v>
      </c>
      <c r="BZ396" s="6">
        <v>2.68939381007254</v>
      </c>
    </row>
    <row r="397" spans="1:78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6" t="s">
        <v>24</v>
      </c>
      <c r="BB397" s="6">
        <v>741</v>
      </c>
      <c r="BC397" s="6" t="s">
        <v>24</v>
      </c>
      <c r="BD397" s="6">
        <v>340</v>
      </c>
      <c r="BE397" s="6" t="s">
        <v>25</v>
      </c>
      <c r="BF397" s="6">
        <v>625</v>
      </c>
      <c r="BG397" s="6" t="s">
        <v>26</v>
      </c>
      <c r="BH397" s="6">
        <v>3456</v>
      </c>
      <c r="BI397" s="6">
        <v>-1.4995085845444</v>
      </c>
      <c r="BJ397" s="6">
        <v>-1.23046381140026</v>
      </c>
      <c r="BK397" s="6">
        <v>1.4924997207157</v>
      </c>
      <c r="BL397" s="18"/>
      <c r="BM397" s="4">
        <f t="shared" si="12"/>
        <v>588.12</v>
      </c>
      <c r="BN397" s="15">
        <f t="shared" si="13"/>
        <v>152.88</v>
      </c>
      <c r="BO397" s="6"/>
      <c r="BP397" s="6" t="s">
        <v>24</v>
      </c>
      <c r="BQ397" s="6">
        <v>741</v>
      </c>
      <c r="BR397" s="6" t="s">
        <v>24</v>
      </c>
      <c r="BS397" s="6">
        <v>340</v>
      </c>
      <c r="BT397" s="6" t="s">
        <v>25</v>
      </c>
      <c r="BU397" s="6">
        <v>797</v>
      </c>
      <c r="BV397" s="6" t="s">
        <v>26</v>
      </c>
      <c r="BW397" s="6">
        <v>4488</v>
      </c>
      <c r="BX397" s="6">
        <v>-0.000113598688590201</v>
      </c>
      <c r="BY397" s="6">
        <v>-0.000111609360120257</v>
      </c>
      <c r="BZ397" s="6">
        <v>2.46445796187977</v>
      </c>
    </row>
    <row r="398" spans="1:7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6" t="s">
        <v>24</v>
      </c>
      <c r="BB398" s="6">
        <v>741</v>
      </c>
      <c r="BC398" s="6" t="s">
        <v>24</v>
      </c>
      <c r="BD398" s="6">
        <v>340</v>
      </c>
      <c r="BE398" s="6" t="s">
        <v>25</v>
      </c>
      <c r="BF398" s="6">
        <v>676</v>
      </c>
      <c r="BG398" s="6" t="s">
        <v>26</v>
      </c>
      <c r="BH398" s="6">
        <v>3750</v>
      </c>
      <c r="BI398" s="6">
        <v>-0.489589905432719</v>
      </c>
      <c r="BJ398" s="6">
        <v>-0.431613245956757</v>
      </c>
      <c r="BK398" s="6">
        <v>2.48226059429589</v>
      </c>
      <c r="BL398" s="18"/>
      <c r="BM398" s="4">
        <f t="shared" si="12"/>
        <v>637.12</v>
      </c>
      <c r="BN398" s="15">
        <f t="shared" si="13"/>
        <v>103.88</v>
      </c>
      <c r="BO398" s="6"/>
      <c r="BP398" s="6" t="s">
        <v>24</v>
      </c>
      <c r="BQ398" s="6">
        <v>741</v>
      </c>
      <c r="BR398" s="6" t="s">
        <v>24</v>
      </c>
      <c r="BS398" s="6">
        <v>340</v>
      </c>
      <c r="BT398" s="6" t="s">
        <v>25</v>
      </c>
      <c r="BU398" s="6">
        <v>861</v>
      </c>
      <c r="BV398" s="6" t="s">
        <v>26</v>
      </c>
      <c r="BW398" s="6">
        <v>4860</v>
      </c>
      <c r="BX398" s="6">
        <v>-4.3854859909559e-5</v>
      </c>
      <c r="BY398" s="6">
        <v>-4.25079954373053e-5</v>
      </c>
      <c r="BZ398" s="6">
        <v>2.25271918029642</v>
      </c>
    </row>
    <row r="399" spans="1:78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6" t="s">
        <v>24</v>
      </c>
      <c r="BB399" s="6">
        <v>741</v>
      </c>
      <c r="BC399" s="6" t="s">
        <v>24</v>
      </c>
      <c r="BD399" s="6">
        <v>340</v>
      </c>
      <c r="BE399" s="6" t="s">
        <v>25</v>
      </c>
      <c r="BF399" s="6">
        <v>729</v>
      </c>
      <c r="BG399" s="6" t="s">
        <v>26</v>
      </c>
      <c r="BH399" s="6">
        <v>4056</v>
      </c>
      <c r="BI399" s="6">
        <v>-0.000854387801103092</v>
      </c>
      <c r="BJ399" s="6">
        <v>-0.000766599349312125</v>
      </c>
      <c r="BK399" s="6">
        <v>2.86090762780332</v>
      </c>
      <c r="BL399" s="18"/>
      <c r="BM399" s="4">
        <f t="shared" si="12"/>
        <v>688.08</v>
      </c>
      <c r="BN399" s="15">
        <f t="shared" si="13"/>
        <v>52.92</v>
      </c>
      <c r="BO399" s="6"/>
      <c r="BP399" s="6" t="s">
        <v>24</v>
      </c>
      <c r="BQ399" s="6">
        <v>741</v>
      </c>
      <c r="BR399" s="6" t="s">
        <v>24</v>
      </c>
      <c r="BS399" s="6">
        <v>340</v>
      </c>
      <c r="BT399" s="6" t="s">
        <v>25</v>
      </c>
      <c r="BU399" s="6">
        <v>927</v>
      </c>
      <c r="BV399" s="6" t="s">
        <v>26</v>
      </c>
      <c r="BW399" s="6">
        <v>5244</v>
      </c>
      <c r="BX399" s="6">
        <v>-2.2554264866191e-5</v>
      </c>
      <c r="BY399" s="6">
        <v>-2.5869632420102e-5</v>
      </c>
      <c r="BZ399" s="6">
        <v>2.18738228396577</v>
      </c>
    </row>
    <row r="400" spans="1:78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1" t="s">
        <v>24</v>
      </c>
      <c r="BB400" s="11">
        <v>741</v>
      </c>
      <c r="BC400" s="11" t="s">
        <v>24</v>
      </c>
      <c r="BD400" s="11">
        <v>340</v>
      </c>
      <c r="BE400" s="11" t="s">
        <v>25</v>
      </c>
      <c r="BF400" s="11">
        <v>784</v>
      </c>
      <c r="BG400" s="11" t="s">
        <v>26</v>
      </c>
      <c r="BH400" s="11">
        <v>4374</v>
      </c>
      <c r="BI400" s="11">
        <v>-0.000178168473318692</v>
      </c>
      <c r="BJ400" s="11">
        <v>-0.000167354473333442</v>
      </c>
      <c r="BK400" s="11">
        <v>2.54675877982842</v>
      </c>
      <c r="BL400" s="20"/>
      <c r="BM400" s="12">
        <f t="shared" si="12"/>
        <v>744.855</v>
      </c>
      <c r="BN400" s="15">
        <f t="shared" si="13"/>
        <v>3.85500000000002</v>
      </c>
      <c r="BO400" s="6"/>
      <c r="BP400" s="6" t="s">
        <v>24</v>
      </c>
      <c r="BQ400" s="6">
        <v>741</v>
      </c>
      <c r="BR400" s="6" t="s">
        <v>24</v>
      </c>
      <c r="BS400" s="6">
        <v>340</v>
      </c>
      <c r="BT400" s="6" t="s">
        <v>25</v>
      </c>
      <c r="BU400" s="6">
        <v>977</v>
      </c>
      <c r="BV400" s="6" t="s">
        <v>26</v>
      </c>
      <c r="BW400" s="6">
        <v>5532</v>
      </c>
      <c r="BX400" s="6">
        <v>-2.23213293670034e-5</v>
      </c>
      <c r="BY400" s="6">
        <v>-2.16483529267892e-5</v>
      </c>
      <c r="BZ400" s="6">
        <v>2.10924166752239</v>
      </c>
    </row>
    <row r="401" spans="1:78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6" t="s">
        <v>24</v>
      </c>
      <c r="BB401" s="6">
        <v>741</v>
      </c>
      <c r="BC401" s="6" t="s">
        <v>24</v>
      </c>
      <c r="BD401" s="6">
        <v>340</v>
      </c>
      <c r="BE401" s="6" t="s">
        <v>25</v>
      </c>
      <c r="BF401" s="6">
        <v>841</v>
      </c>
      <c r="BG401" s="6" t="s">
        <v>26</v>
      </c>
      <c r="BH401" s="6">
        <v>4704</v>
      </c>
      <c r="BI401" s="6">
        <v>-0.000101993247145142</v>
      </c>
      <c r="BJ401" s="6">
        <v>-9.35545300772494e-5</v>
      </c>
      <c r="BK401" s="6">
        <v>2.41028971175167</v>
      </c>
      <c r="BL401" s="18"/>
      <c r="BM401" s="4">
        <f t="shared" si="12"/>
        <v>799.875</v>
      </c>
      <c r="BN401" s="15">
        <f t="shared" si="13"/>
        <v>58.875</v>
      </c>
      <c r="BO401" s="6"/>
      <c r="BP401" s="6" t="s">
        <v>24</v>
      </c>
      <c r="BQ401" s="6">
        <v>741</v>
      </c>
      <c r="BR401" s="6" t="s">
        <v>24</v>
      </c>
      <c r="BS401" s="6">
        <v>340</v>
      </c>
      <c r="BT401" s="6" t="s">
        <v>25</v>
      </c>
      <c r="BU401" s="6">
        <v>1034</v>
      </c>
      <c r="BV401" s="6" t="s">
        <v>26</v>
      </c>
      <c r="BW401" s="6">
        <v>5862</v>
      </c>
      <c r="BX401" s="6">
        <v>-2.01303544648743e-5</v>
      </c>
      <c r="BY401" s="6">
        <v>-1.83030999160067e-5</v>
      </c>
      <c r="BZ401" s="6">
        <v>2.05294770341661</v>
      </c>
    </row>
    <row r="402" spans="1:78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6" t="s">
        <v>24</v>
      </c>
      <c r="BB402" s="6">
        <v>741</v>
      </c>
      <c r="BC402" s="6" t="s">
        <v>24</v>
      </c>
      <c r="BD402" s="6">
        <v>340</v>
      </c>
      <c r="BE402" s="6" t="s">
        <v>25</v>
      </c>
      <c r="BF402" s="6">
        <v>900</v>
      </c>
      <c r="BG402" s="6" t="s">
        <v>26</v>
      </c>
      <c r="BH402" s="6">
        <v>5046</v>
      </c>
      <c r="BI402" s="6">
        <v>-4.81045596511314e-5</v>
      </c>
      <c r="BJ402" s="6">
        <v>-4.45755127062189e-5</v>
      </c>
      <c r="BK402" s="6">
        <v>2.25759164214269</v>
      </c>
      <c r="BL402" s="18"/>
      <c r="BM402" s="4">
        <f t="shared" si="12"/>
        <v>856.855</v>
      </c>
      <c r="BN402" s="15">
        <f t="shared" si="13"/>
        <v>115.855</v>
      </c>
      <c r="BO402" s="6"/>
      <c r="BP402" s="6" t="s">
        <v>24</v>
      </c>
      <c r="BQ402" s="6">
        <v>741</v>
      </c>
      <c r="BR402" s="6" t="s">
        <v>24</v>
      </c>
      <c r="BS402" s="6">
        <v>340</v>
      </c>
      <c r="BT402" s="6" t="s">
        <v>25</v>
      </c>
      <c r="BU402" s="6">
        <v>1085</v>
      </c>
      <c r="BV402" s="6" t="s">
        <v>26</v>
      </c>
      <c r="BW402" s="6">
        <v>6156</v>
      </c>
      <c r="BX402" s="6">
        <v>-1.70407391811687e-5</v>
      </c>
      <c r="BY402" s="6">
        <v>-1.64725370166726e-5</v>
      </c>
      <c r="BZ402" s="6">
        <v>2.04642314789611</v>
      </c>
    </row>
    <row r="403" spans="1:78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6" t="s">
        <v>24</v>
      </c>
      <c r="BB403" s="6">
        <v>741</v>
      </c>
      <c r="BC403" s="6" t="s">
        <v>24</v>
      </c>
      <c r="BD403" s="6">
        <v>340</v>
      </c>
      <c r="BE403" s="6" t="s">
        <v>25</v>
      </c>
      <c r="BF403" s="6">
        <v>961</v>
      </c>
      <c r="BG403" s="6" t="s">
        <v>26</v>
      </c>
      <c r="BH403" s="6">
        <v>5400</v>
      </c>
      <c r="BI403" s="6">
        <v>-3.55945435288451e-5</v>
      </c>
      <c r="BJ403" s="6">
        <v>-3.38545899898468e-5</v>
      </c>
      <c r="BK403" s="6">
        <v>2.20271125952218</v>
      </c>
      <c r="BL403" s="18"/>
      <c r="BM403" s="4">
        <f t="shared" si="12"/>
        <v>915.795</v>
      </c>
      <c r="BN403" s="15">
        <f t="shared" si="13"/>
        <v>174.795</v>
      </c>
      <c r="BO403" s="6"/>
      <c r="BP403" s="6" t="s">
        <v>24</v>
      </c>
      <c r="BQ403" s="6">
        <v>741</v>
      </c>
      <c r="BR403" s="6" t="s">
        <v>24</v>
      </c>
      <c r="BS403" s="6">
        <v>340</v>
      </c>
      <c r="BT403" s="6" t="s">
        <v>25</v>
      </c>
      <c r="BU403" s="6">
        <v>1177</v>
      </c>
      <c r="BV403" s="6" t="s">
        <v>26</v>
      </c>
      <c r="BW403" s="6">
        <v>6696</v>
      </c>
      <c r="BX403" s="6">
        <v>-9.59849206291856e-6</v>
      </c>
      <c r="BY403" s="6">
        <v>-9.73459194685197e-6</v>
      </c>
      <c r="BZ403" s="6">
        <v>1.94455691143612</v>
      </c>
    </row>
    <row r="404" spans="1:78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6" t="s">
        <v>24</v>
      </c>
      <c r="BB404" s="6">
        <v>741</v>
      </c>
      <c r="BC404" s="6" t="s">
        <v>24</v>
      </c>
      <c r="BD404" s="6">
        <v>340</v>
      </c>
      <c r="BE404" s="6" t="s">
        <v>25</v>
      </c>
      <c r="BF404" s="6">
        <v>1024</v>
      </c>
      <c r="BG404" s="6" t="s">
        <v>26</v>
      </c>
      <c r="BH404" s="6">
        <v>5766</v>
      </c>
      <c r="BI404" s="6">
        <v>-2.15870400108876e-5</v>
      </c>
      <c r="BJ404" s="6">
        <v>-2.10372492027991e-5</v>
      </c>
      <c r="BK404" s="6">
        <v>2.10603618969843</v>
      </c>
      <c r="BL404" s="18"/>
      <c r="BM404" s="4">
        <f t="shared" si="12"/>
        <v>976.695</v>
      </c>
      <c r="BN404" s="15">
        <f t="shared" si="13"/>
        <v>235.695</v>
      </c>
      <c r="BO404" s="6"/>
      <c r="BP404" s="6" t="s">
        <v>24</v>
      </c>
      <c r="BQ404" s="6">
        <v>741</v>
      </c>
      <c r="BR404" s="6" t="s">
        <v>24</v>
      </c>
      <c r="BS404" s="6">
        <v>340</v>
      </c>
      <c r="BT404" s="6" t="s">
        <v>25</v>
      </c>
      <c r="BU404" s="6">
        <v>1243</v>
      </c>
      <c r="BV404" s="6" t="s">
        <v>26</v>
      </c>
      <c r="BW404" s="6">
        <v>7080</v>
      </c>
      <c r="BX404" s="6">
        <v>-9.10831419734841e-6</v>
      </c>
      <c r="BY404" s="6">
        <v>-8.83990056457065e-6</v>
      </c>
      <c r="BZ404" s="6">
        <v>1.91277637788261</v>
      </c>
    </row>
    <row r="405" spans="1:78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6" t="s">
        <v>24</v>
      </c>
      <c r="BB405" s="6">
        <v>741</v>
      </c>
      <c r="BC405" s="6" t="s">
        <v>24</v>
      </c>
      <c r="BD405" s="6">
        <v>340</v>
      </c>
      <c r="BE405" s="6" t="s">
        <v>25</v>
      </c>
      <c r="BF405" s="6">
        <v>1089</v>
      </c>
      <c r="BG405" s="6" t="s">
        <v>26</v>
      </c>
      <c r="BH405" s="6">
        <v>6144</v>
      </c>
      <c r="BI405" s="6">
        <v>-1.78452684923505e-5</v>
      </c>
      <c r="BJ405" s="6">
        <v>-1.68692792007567e-5</v>
      </c>
      <c r="BK405" s="6">
        <v>2.05108384623372</v>
      </c>
      <c r="BL405" s="18"/>
      <c r="BM405" s="4">
        <f t="shared" si="12"/>
        <v>1039.555</v>
      </c>
      <c r="BN405" s="15">
        <f t="shared" si="13"/>
        <v>298.555</v>
      </c>
      <c r="BO405" s="6"/>
      <c r="BP405" s="6" t="s">
        <v>24</v>
      </c>
      <c r="BQ405" s="6">
        <v>741</v>
      </c>
      <c r="BR405" s="6" t="s">
        <v>24</v>
      </c>
      <c r="BS405" s="6">
        <v>340</v>
      </c>
      <c r="BT405" s="6" t="s">
        <v>25</v>
      </c>
      <c r="BU405" s="6">
        <v>1325</v>
      </c>
      <c r="BV405" s="6" t="s">
        <v>26</v>
      </c>
      <c r="BW405" s="6">
        <v>7560</v>
      </c>
      <c r="BX405" s="6">
        <v>-7.80870445501876e-6</v>
      </c>
      <c r="BY405" s="6">
        <v>-7.56272610383398e-6</v>
      </c>
      <c r="BZ405" s="6">
        <v>1.87828883853756</v>
      </c>
    </row>
    <row r="406" spans="1:78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0" t="s">
        <v>44</v>
      </c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8"/>
      <c r="BM406" s="4"/>
      <c r="BN406" s="15"/>
      <c r="BO406" s="6"/>
      <c r="BP406" s="10" t="s">
        <v>44</v>
      </c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</row>
    <row r="407" ht="23.25" spans="1:78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8"/>
      <c r="BM407" s="4"/>
      <c r="BN407" s="15"/>
      <c r="BO407" s="3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</row>
    <row r="408" ht="23.25" spans="1:7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6" t="s">
        <v>12</v>
      </c>
      <c r="BB408" s="6" t="s">
        <v>13</v>
      </c>
      <c r="BC408" s="6" t="s">
        <v>14</v>
      </c>
      <c r="BD408" s="6" t="s">
        <v>15</v>
      </c>
      <c r="BE408" s="6" t="s">
        <v>16</v>
      </c>
      <c r="BF408" s="6" t="s">
        <v>17</v>
      </c>
      <c r="BG408" s="6" t="s">
        <v>18</v>
      </c>
      <c r="BH408" s="6" t="s">
        <v>19</v>
      </c>
      <c r="BI408" s="6" t="s">
        <v>20</v>
      </c>
      <c r="BJ408" s="6" t="s">
        <v>21</v>
      </c>
      <c r="BK408" s="6" t="s">
        <v>22</v>
      </c>
      <c r="BL408" s="18"/>
      <c r="BM408" s="4"/>
      <c r="BN408" s="15"/>
      <c r="BO408" s="3"/>
      <c r="BP408" s="6" t="s">
        <v>12</v>
      </c>
      <c r="BQ408" s="6" t="s">
        <v>13</v>
      </c>
      <c r="BR408" s="6" t="s">
        <v>14</v>
      </c>
      <c r="BS408" s="6" t="s">
        <v>15</v>
      </c>
      <c r="BT408" s="6" t="s">
        <v>16</v>
      </c>
      <c r="BU408" s="6" t="s">
        <v>17</v>
      </c>
      <c r="BV408" s="6" t="s">
        <v>18</v>
      </c>
      <c r="BW408" s="6" t="s">
        <v>19</v>
      </c>
      <c r="BX408" s="6" t="s">
        <v>20</v>
      </c>
      <c r="BY408" s="6" t="s">
        <v>21</v>
      </c>
      <c r="BZ408" s="6" t="s">
        <v>22</v>
      </c>
    </row>
    <row r="409" spans="1:78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6" t="s">
        <v>24</v>
      </c>
      <c r="BB409" s="6">
        <v>797</v>
      </c>
      <c r="BC409" s="6" t="s">
        <v>24</v>
      </c>
      <c r="BD409" s="6">
        <v>340</v>
      </c>
      <c r="BE409" s="6" t="s">
        <v>25</v>
      </c>
      <c r="BF409" s="6">
        <v>625</v>
      </c>
      <c r="BG409" s="6" t="s">
        <v>26</v>
      </c>
      <c r="BH409" s="6">
        <v>3456</v>
      </c>
      <c r="BI409" s="6">
        <v>-2.04516135774693</v>
      </c>
      <c r="BJ409" s="6">
        <v>-1.65173833361076</v>
      </c>
      <c r="BK409" s="6">
        <v>1.03236992497018</v>
      </c>
      <c r="BL409" s="18"/>
      <c r="BM409" s="4">
        <f t="shared" ref="BM409:BM417" si="14">(FLOOR(((SQRT(1+8*BF409)-3))/2,0.1)*(FLOOR(((SQRT(1+8*BF409)-3))/2,0.1)+1))/2</f>
        <v>588.12</v>
      </c>
      <c r="BN409" s="15">
        <f t="shared" si="13"/>
        <v>208.88</v>
      </c>
      <c r="BO409" s="4"/>
      <c r="BP409" s="6" t="s">
        <v>24</v>
      </c>
      <c r="BQ409" s="6">
        <v>797</v>
      </c>
      <c r="BR409" s="6" t="s">
        <v>24</v>
      </c>
      <c r="BS409" s="6">
        <v>340</v>
      </c>
      <c r="BT409" s="6" t="s">
        <v>25</v>
      </c>
      <c r="BU409" s="6">
        <v>797</v>
      </c>
      <c r="BV409" s="6" t="s">
        <v>26</v>
      </c>
      <c r="BW409" s="6">
        <v>4488</v>
      </c>
      <c r="BX409" s="6">
        <v>-0.000148725428740187</v>
      </c>
      <c r="BY409" s="6">
        <v>-0.000166844988376081</v>
      </c>
      <c r="BZ409" s="6">
        <v>2.58674092130789</v>
      </c>
    </row>
    <row r="410" spans="1:78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6" t="s">
        <v>24</v>
      </c>
      <c r="BB410" s="6">
        <v>797</v>
      </c>
      <c r="BC410" s="6" t="s">
        <v>24</v>
      </c>
      <c r="BD410" s="6">
        <v>340</v>
      </c>
      <c r="BE410" s="6" t="s">
        <v>25</v>
      </c>
      <c r="BF410" s="6">
        <v>676</v>
      </c>
      <c r="BG410" s="6" t="s">
        <v>26</v>
      </c>
      <c r="BH410" s="6">
        <v>3750</v>
      </c>
      <c r="BI410" s="6">
        <v>-1.02693323473398</v>
      </c>
      <c r="BJ410" s="6">
        <v>-0.855985302991422</v>
      </c>
      <c r="BK410" s="6">
        <v>1.97180956366955</v>
      </c>
      <c r="BL410" s="18"/>
      <c r="BM410" s="4">
        <f t="shared" si="14"/>
        <v>637.12</v>
      </c>
      <c r="BN410" s="15">
        <f t="shared" si="13"/>
        <v>159.88</v>
      </c>
      <c r="BO410" s="6"/>
      <c r="BP410" s="6" t="s">
        <v>24</v>
      </c>
      <c r="BQ410" s="6">
        <v>797</v>
      </c>
      <c r="BR410" s="6" t="s">
        <v>24</v>
      </c>
      <c r="BS410" s="6">
        <v>340</v>
      </c>
      <c r="BT410" s="6" t="s">
        <v>25</v>
      </c>
      <c r="BU410" s="6">
        <v>861</v>
      </c>
      <c r="BV410" s="6" t="s">
        <v>26</v>
      </c>
      <c r="BW410" s="6">
        <v>4860</v>
      </c>
      <c r="BX410" s="6">
        <v>-2.17451207826818e-5</v>
      </c>
      <c r="BY410" s="6">
        <v>-3.65688908232962e-5</v>
      </c>
      <c r="BZ410" s="6">
        <v>2.31437891556965</v>
      </c>
    </row>
    <row r="411" spans="1:78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6" t="s">
        <v>24</v>
      </c>
      <c r="BB411" s="6">
        <v>797</v>
      </c>
      <c r="BC411" s="6" t="s">
        <v>24</v>
      </c>
      <c r="BD411" s="6">
        <v>340</v>
      </c>
      <c r="BE411" s="6" t="s">
        <v>25</v>
      </c>
      <c r="BF411" s="6">
        <v>729</v>
      </c>
      <c r="BG411" s="6" t="s">
        <v>26</v>
      </c>
      <c r="BH411" s="6">
        <v>4056</v>
      </c>
      <c r="BI411" s="6">
        <v>-0.0195515372974838</v>
      </c>
      <c r="BJ411" s="6">
        <v>-0.0174400426005947</v>
      </c>
      <c r="BK411" s="6">
        <v>3.1299337907514</v>
      </c>
      <c r="BL411" s="18"/>
      <c r="BM411" s="4">
        <f t="shared" si="14"/>
        <v>688.08</v>
      </c>
      <c r="BN411" s="15">
        <f t="shared" si="13"/>
        <v>108.92</v>
      </c>
      <c r="BO411" s="6"/>
      <c r="BP411" s="6" t="s">
        <v>24</v>
      </c>
      <c r="BQ411" s="6">
        <v>797</v>
      </c>
      <c r="BR411" s="6" t="s">
        <v>24</v>
      </c>
      <c r="BS411" s="6">
        <v>340</v>
      </c>
      <c r="BT411" s="6" t="s">
        <v>25</v>
      </c>
      <c r="BU411" s="6">
        <v>927</v>
      </c>
      <c r="BV411" s="6" t="s">
        <v>26</v>
      </c>
      <c r="BW411" s="6">
        <v>5244</v>
      </c>
      <c r="BX411" s="6">
        <v>-2.33604334652233e-5</v>
      </c>
      <c r="BY411" s="6">
        <v>-2.60816620495827e-5</v>
      </c>
      <c r="BZ411" s="6">
        <v>2.18378303407888</v>
      </c>
    </row>
    <row r="412" spans="1:78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6" t="s">
        <v>24</v>
      </c>
      <c r="BB412" s="6">
        <v>797</v>
      </c>
      <c r="BC412" s="6" t="s">
        <v>24</v>
      </c>
      <c r="BD412" s="6">
        <v>340</v>
      </c>
      <c r="BE412" s="6" t="s">
        <v>25</v>
      </c>
      <c r="BF412" s="6">
        <v>784</v>
      </c>
      <c r="BG412" s="6" t="s">
        <v>26</v>
      </c>
      <c r="BH412" s="6">
        <v>4374</v>
      </c>
      <c r="BI412" s="6">
        <v>-0.000231624146999092</v>
      </c>
      <c r="BJ412" s="6">
        <v>-0.000302944937122931</v>
      </c>
      <c r="BK412" s="6">
        <v>2.75018070937188</v>
      </c>
      <c r="BL412" s="18"/>
      <c r="BM412" s="4">
        <f t="shared" si="14"/>
        <v>744.855</v>
      </c>
      <c r="BN412" s="15">
        <f t="shared" si="13"/>
        <v>52.145</v>
      </c>
      <c r="BO412" s="6"/>
      <c r="BP412" s="6" t="s">
        <v>24</v>
      </c>
      <c r="BQ412" s="6">
        <v>797</v>
      </c>
      <c r="BR412" s="6" t="s">
        <v>24</v>
      </c>
      <c r="BS412" s="6">
        <v>340</v>
      </c>
      <c r="BT412" s="6" t="s">
        <v>25</v>
      </c>
      <c r="BU412" s="6">
        <v>977</v>
      </c>
      <c r="BV412" s="6" t="s">
        <v>26</v>
      </c>
      <c r="BW412" s="6">
        <v>5532</v>
      </c>
      <c r="BX412" s="6">
        <v>-1.97781208029556e-5</v>
      </c>
      <c r="BY412" s="6">
        <v>-2.0350562040445e-5</v>
      </c>
      <c r="BZ412" s="6">
        <v>2.11660265048893</v>
      </c>
    </row>
    <row r="413" spans="1:78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1" t="s">
        <v>24</v>
      </c>
      <c r="BB413" s="11">
        <v>797</v>
      </c>
      <c r="BC413" s="11" t="s">
        <v>24</v>
      </c>
      <c r="BD413" s="11">
        <v>340</v>
      </c>
      <c r="BE413" s="11" t="s">
        <v>25</v>
      </c>
      <c r="BF413" s="11">
        <v>841</v>
      </c>
      <c r="BG413" s="11" t="s">
        <v>26</v>
      </c>
      <c r="BH413" s="11">
        <v>4704</v>
      </c>
      <c r="BI413" s="11">
        <v>-6.01994043424557e-5</v>
      </c>
      <c r="BJ413" s="11">
        <v>-7.23543913891991e-5</v>
      </c>
      <c r="BK413" s="11">
        <v>2.4263423586826</v>
      </c>
      <c r="BL413" s="20"/>
      <c r="BM413" s="12">
        <f t="shared" si="14"/>
        <v>799.875</v>
      </c>
      <c r="BN413" s="15">
        <f t="shared" si="13"/>
        <v>2.875</v>
      </c>
      <c r="BO413" s="6"/>
      <c r="BP413" s="6" t="s">
        <v>24</v>
      </c>
      <c r="BQ413" s="6">
        <v>797</v>
      </c>
      <c r="BR413" s="6" t="s">
        <v>24</v>
      </c>
      <c r="BS413" s="6">
        <v>340</v>
      </c>
      <c r="BT413" s="6" t="s">
        <v>25</v>
      </c>
      <c r="BU413" s="6">
        <v>1034</v>
      </c>
      <c r="BV413" s="6" t="s">
        <v>26</v>
      </c>
      <c r="BW413" s="6">
        <v>5862</v>
      </c>
      <c r="BX413" s="6">
        <v>-1.85254840749463e-5</v>
      </c>
      <c r="BY413" s="6">
        <v>-1.78782063384041e-5</v>
      </c>
      <c r="BZ413" s="6">
        <v>2.06665760646489</v>
      </c>
    </row>
    <row r="414" spans="1:78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6" t="s">
        <v>24</v>
      </c>
      <c r="BB414" s="6">
        <v>797</v>
      </c>
      <c r="BC414" s="6" t="s">
        <v>24</v>
      </c>
      <c r="BD414" s="6">
        <v>340</v>
      </c>
      <c r="BE414" s="6" t="s">
        <v>25</v>
      </c>
      <c r="BF414" s="6">
        <v>900</v>
      </c>
      <c r="BG414" s="6" t="s">
        <v>26</v>
      </c>
      <c r="BH414" s="6">
        <v>5046</v>
      </c>
      <c r="BI414" s="6">
        <v>-4.27782167002282e-5</v>
      </c>
      <c r="BJ414" s="6">
        <v>-4.11531209882113e-5</v>
      </c>
      <c r="BK414" s="6">
        <v>2.25273775840025</v>
      </c>
      <c r="BL414" s="18"/>
      <c r="BM414" s="4">
        <f t="shared" si="14"/>
        <v>856.855</v>
      </c>
      <c r="BN414" s="15">
        <f t="shared" si="13"/>
        <v>59.8550000000002</v>
      </c>
      <c r="BO414" s="6"/>
      <c r="BP414" s="6" t="s">
        <v>24</v>
      </c>
      <c r="BQ414" s="6">
        <v>797</v>
      </c>
      <c r="BR414" s="6" t="s">
        <v>24</v>
      </c>
      <c r="BS414" s="6">
        <v>340</v>
      </c>
      <c r="BT414" s="6" t="s">
        <v>25</v>
      </c>
      <c r="BU414" s="6">
        <v>1085</v>
      </c>
      <c r="BV414" s="6" t="s">
        <v>26</v>
      </c>
      <c r="BW414" s="6">
        <v>6156</v>
      </c>
      <c r="BX414" s="6">
        <v>-1.83296458717986e-5</v>
      </c>
      <c r="BY414" s="6">
        <v>-1.71241350047146e-5</v>
      </c>
      <c r="BZ414" s="6">
        <v>2.04768008035709</v>
      </c>
    </row>
    <row r="415" spans="1:78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6" t="s">
        <v>24</v>
      </c>
      <c r="BB415" s="6">
        <v>797</v>
      </c>
      <c r="BC415" s="6" t="s">
        <v>24</v>
      </c>
      <c r="BD415" s="6">
        <v>340</v>
      </c>
      <c r="BE415" s="6" t="s">
        <v>25</v>
      </c>
      <c r="BF415" s="6">
        <v>961</v>
      </c>
      <c r="BG415" s="6" t="s">
        <v>26</v>
      </c>
      <c r="BH415" s="6">
        <v>5400</v>
      </c>
      <c r="BI415" s="6">
        <v>-3.23669010233334e-5</v>
      </c>
      <c r="BJ415" s="6">
        <v>-3.15774766888986e-5</v>
      </c>
      <c r="BK415" s="6">
        <v>2.20281323848583</v>
      </c>
      <c r="BL415" s="18"/>
      <c r="BM415" s="4">
        <f t="shared" si="14"/>
        <v>915.795</v>
      </c>
      <c r="BN415" s="15">
        <f t="shared" si="13"/>
        <v>118.795</v>
      </c>
      <c r="BO415" s="6"/>
      <c r="BP415" s="6" t="s">
        <v>24</v>
      </c>
      <c r="BQ415" s="6">
        <v>797</v>
      </c>
      <c r="BR415" s="6" t="s">
        <v>24</v>
      </c>
      <c r="BS415" s="6">
        <v>340</v>
      </c>
      <c r="BT415" s="6" t="s">
        <v>25</v>
      </c>
      <c r="BU415" s="6">
        <v>1177</v>
      </c>
      <c r="BV415" s="6" t="s">
        <v>26</v>
      </c>
      <c r="BW415" s="6">
        <v>6696</v>
      </c>
      <c r="BX415" s="6">
        <v>-9.67457675843375e-6</v>
      </c>
      <c r="BY415" s="6">
        <v>-9.58864969276227e-6</v>
      </c>
      <c r="BZ415" s="6">
        <v>1.9383995919693</v>
      </c>
    </row>
    <row r="416" spans="1:78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6" t="s">
        <v>24</v>
      </c>
      <c r="BB416" s="6">
        <v>797</v>
      </c>
      <c r="BC416" s="6" t="s">
        <v>24</v>
      </c>
      <c r="BD416" s="6">
        <v>340</v>
      </c>
      <c r="BE416" s="6" t="s">
        <v>25</v>
      </c>
      <c r="BF416" s="6">
        <v>1024</v>
      </c>
      <c r="BG416" s="6" t="s">
        <v>26</v>
      </c>
      <c r="BH416" s="6">
        <v>5766</v>
      </c>
      <c r="BI416" s="6">
        <v>-2.03122372948321e-5</v>
      </c>
      <c r="BJ416" s="6">
        <v>-2.08541595050605e-5</v>
      </c>
      <c r="BK416" s="6">
        <v>2.12734408751891</v>
      </c>
      <c r="BL416" s="18"/>
      <c r="BM416" s="4">
        <f t="shared" si="14"/>
        <v>976.695</v>
      </c>
      <c r="BN416" s="15">
        <f t="shared" si="13"/>
        <v>179.695</v>
      </c>
      <c r="BO416" s="6"/>
      <c r="BP416" s="6" t="s">
        <v>24</v>
      </c>
      <c r="BQ416" s="6">
        <v>797</v>
      </c>
      <c r="BR416" s="6" t="s">
        <v>24</v>
      </c>
      <c r="BS416" s="6">
        <v>340</v>
      </c>
      <c r="BT416" s="6" t="s">
        <v>25</v>
      </c>
      <c r="BU416" s="6">
        <v>1243</v>
      </c>
      <c r="BV416" s="6" t="s">
        <v>26</v>
      </c>
      <c r="BW416" s="6">
        <v>7080</v>
      </c>
      <c r="BX416" s="6">
        <v>-8.68663821773074e-6</v>
      </c>
      <c r="BY416" s="6">
        <v>-8.31462155942283e-6</v>
      </c>
      <c r="BZ416" s="6">
        <v>1.90022354124601</v>
      </c>
    </row>
    <row r="417" spans="1:78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6" t="s">
        <v>24</v>
      </c>
      <c r="BB417" s="6">
        <v>797</v>
      </c>
      <c r="BC417" s="6" t="s">
        <v>24</v>
      </c>
      <c r="BD417" s="6">
        <v>340</v>
      </c>
      <c r="BE417" s="6" t="s">
        <v>25</v>
      </c>
      <c r="BF417" s="6">
        <v>1089</v>
      </c>
      <c r="BG417" s="6" t="s">
        <v>26</v>
      </c>
      <c r="BH417" s="6">
        <v>6144</v>
      </c>
      <c r="BI417" s="6">
        <v>-1.312879746013e-5</v>
      </c>
      <c r="BJ417" s="6">
        <v>-1.37813320185852e-5</v>
      </c>
      <c r="BK417" s="6">
        <v>2.04186949602389</v>
      </c>
      <c r="BL417" s="18"/>
      <c r="BM417" s="4">
        <f t="shared" si="14"/>
        <v>1039.555</v>
      </c>
      <c r="BN417" s="15">
        <f t="shared" si="13"/>
        <v>242.555</v>
      </c>
      <c r="BO417" s="6"/>
      <c r="BP417" s="6" t="s">
        <v>24</v>
      </c>
      <c r="BQ417" s="6">
        <v>797</v>
      </c>
      <c r="BR417" s="6" t="s">
        <v>24</v>
      </c>
      <c r="BS417" s="6">
        <v>340</v>
      </c>
      <c r="BT417" s="6" t="s">
        <v>25</v>
      </c>
      <c r="BU417" s="6">
        <v>1325</v>
      </c>
      <c r="BV417" s="6" t="s">
        <v>26</v>
      </c>
      <c r="BW417" s="6">
        <v>7560</v>
      </c>
      <c r="BX417" s="6">
        <v>-7.61848544993682e-6</v>
      </c>
      <c r="BY417" s="6">
        <v>-7.33490915222633e-6</v>
      </c>
      <c r="BZ417" s="6">
        <v>1.87354796221609</v>
      </c>
    </row>
    <row r="418" spans="1:7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0" t="s">
        <v>45</v>
      </c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8"/>
      <c r="BM418" s="4"/>
      <c r="BN418" s="15"/>
      <c r="BO418" s="6"/>
      <c r="BP418" s="10" t="s">
        <v>45</v>
      </c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</row>
    <row r="419" ht="23.25" spans="1:78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8"/>
      <c r="BM419" s="4"/>
      <c r="BN419" s="15"/>
      <c r="BO419" s="3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</row>
    <row r="420" ht="23.25" spans="1:78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6" t="s">
        <v>12</v>
      </c>
      <c r="BB420" s="6" t="s">
        <v>13</v>
      </c>
      <c r="BC420" s="6" t="s">
        <v>14</v>
      </c>
      <c r="BD420" s="6" t="s">
        <v>15</v>
      </c>
      <c r="BE420" s="6" t="s">
        <v>16</v>
      </c>
      <c r="BF420" s="6" t="s">
        <v>17</v>
      </c>
      <c r="BG420" s="6" t="s">
        <v>18</v>
      </c>
      <c r="BH420" s="6" t="s">
        <v>19</v>
      </c>
      <c r="BI420" s="6" t="s">
        <v>20</v>
      </c>
      <c r="BJ420" s="6" t="s">
        <v>21</v>
      </c>
      <c r="BK420" s="6" t="s">
        <v>22</v>
      </c>
      <c r="BL420" s="18"/>
      <c r="BM420" s="4"/>
      <c r="BN420" s="15"/>
      <c r="BO420" s="3"/>
      <c r="BP420" s="6" t="s">
        <v>12</v>
      </c>
      <c r="BQ420" s="6" t="s">
        <v>13</v>
      </c>
      <c r="BR420" s="6" t="s">
        <v>14</v>
      </c>
      <c r="BS420" s="6" t="s">
        <v>15</v>
      </c>
      <c r="BT420" s="6" t="s">
        <v>16</v>
      </c>
      <c r="BU420" s="6" t="s">
        <v>17</v>
      </c>
      <c r="BV420" s="6" t="s">
        <v>18</v>
      </c>
      <c r="BW420" s="6" t="s">
        <v>19</v>
      </c>
      <c r="BX420" s="6" t="s">
        <v>20</v>
      </c>
      <c r="BY420" s="6" t="s">
        <v>21</v>
      </c>
      <c r="BZ420" s="6" t="s">
        <v>22</v>
      </c>
    </row>
    <row r="421" spans="1:78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6" t="s">
        <v>24</v>
      </c>
      <c r="BB421" s="6">
        <v>861</v>
      </c>
      <c r="BC421" s="6" t="s">
        <v>24</v>
      </c>
      <c r="BD421" s="6">
        <v>340</v>
      </c>
      <c r="BE421" s="6" t="s">
        <v>25</v>
      </c>
      <c r="BF421" s="6">
        <v>676</v>
      </c>
      <c r="BG421" s="6" t="s">
        <v>26</v>
      </c>
      <c r="BH421" s="6">
        <v>3750</v>
      </c>
      <c r="BI421" s="6">
        <v>-1.51831083816196</v>
      </c>
      <c r="BJ421" s="6">
        <v>-1.23576659488493</v>
      </c>
      <c r="BK421" s="6">
        <v>1.69401907302976</v>
      </c>
      <c r="BL421" s="18"/>
      <c r="BM421" s="4">
        <f t="shared" ref="BM421:BM428" si="15">(FLOOR(((SQRT(1+8*BF421)-3))/2,0.1)*(FLOOR(((SQRT(1+8*BF421)-3))/2,0.1)+1))/2</f>
        <v>637.12</v>
      </c>
      <c r="BN421" s="15">
        <f t="shared" si="13"/>
        <v>223.88</v>
      </c>
      <c r="BO421" s="4"/>
      <c r="BP421" s="6" t="s">
        <v>24</v>
      </c>
      <c r="BQ421" s="6">
        <v>861</v>
      </c>
      <c r="BR421" s="6" t="s">
        <v>24</v>
      </c>
      <c r="BS421" s="6">
        <v>340</v>
      </c>
      <c r="BT421" s="6" t="s">
        <v>25</v>
      </c>
      <c r="BU421" s="6">
        <v>861</v>
      </c>
      <c r="BV421" s="6" t="s">
        <v>26</v>
      </c>
      <c r="BW421" s="6">
        <v>4860</v>
      </c>
      <c r="BX421" s="6">
        <v>-0.000201972919541076</v>
      </c>
      <c r="BY421" s="6">
        <v>-0.000184780980347263</v>
      </c>
      <c r="BZ421" s="6">
        <v>2.56161779425215</v>
      </c>
    </row>
    <row r="422" spans="1:78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6" t="s">
        <v>24</v>
      </c>
      <c r="BB422" s="6">
        <v>861</v>
      </c>
      <c r="BC422" s="6" t="s">
        <v>24</v>
      </c>
      <c r="BD422" s="6">
        <v>340</v>
      </c>
      <c r="BE422" s="6" t="s">
        <v>25</v>
      </c>
      <c r="BF422" s="6">
        <v>729</v>
      </c>
      <c r="BG422" s="6" t="s">
        <v>26</v>
      </c>
      <c r="BH422" s="6">
        <v>4056</v>
      </c>
      <c r="BI422" s="6">
        <v>-0.508635978379783</v>
      </c>
      <c r="BJ422" s="6">
        <v>-0.479439236585016</v>
      </c>
      <c r="BK422" s="6">
        <v>2.53925669324021</v>
      </c>
      <c r="BL422" s="18"/>
      <c r="BM422" s="4">
        <f t="shared" si="15"/>
        <v>688.08</v>
      </c>
      <c r="BN422" s="15">
        <f t="shared" si="13"/>
        <v>172.92</v>
      </c>
      <c r="BO422" s="6"/>
      <c r="BP422" s="6" t="s">
        <v>24</v>
      </c>
      <c r="BQ422" s="6">
        <v>861</v>
      </c>
      <c r="BR422" s="6" t="s">
        <v>24</v>
      </c>
      <c r="BS422" s="6">
        <v>340</v>
      </c>
      <c r="BT422" s="6" t="s">
        <v>25</v>
      </c>
      <c r="BU422" s="6">
        <v>927</v>
      </c>
      <c r="BV422" s="6" t="s">
        <v>26</v>
      </c>
      <c r="BW422" s="6">
        <v>5244</v>
      </c>
      <c r="BX422" s="6">
        <v>-5.03520367816626e-5</v>
      </c>
      <c r="BY422" s="6">
        <v>-5.46332099020638e-5</v>
      </c>
      <c r="BZ422" s="6">
        <v>2.33906672357701</v>
      </c>
    </row>
    <row r="423" spans="1:78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6" t="s">
        <v>24</v>
      </c>
      <c r="BB423" s="6">
        <v>861</v>
      </c>
      <c r="BC423" s="6" t="s">
        <v>24</v>
      </c>
      <c r="BD423" s="6">
        <v>340</v>
      </c>
      <c r="BE423" s="6" t="s">
        <v>25</v>
      </c>
      <c r="BF423" s="6">
        <v>784</v>
      </c>
      <c r="BG423" s="6" t="s">
        <v>26</v>
      </c>
      <c r="BH423" s="6">
        <v>4374</v>
      </c>
      <c r="BI423" s="6">
        <v>-0.000834560568723115</v>
      </c>
      <c r="BJ423" s="6">
        <v>-0.00105656996888279</v>
      </c>
      <c r="BK423" s="6">
        <v>3.00429905978843</v>
      </c>
      <c r="BL423" s="18"/>
      <c r="BM423" s="4">
        <f t="shared" si="15"/>
        <v>744.855</v>
      </c>
      <c r="BN423" s="15">
        <f t="shared" si="13"/>
        <v>116.145</v>
      </c>
      <c r="BO423" s="6"/>
      <c r="BP423" s="6" t="s">
        <v>24</v>
      </c>
      <c r="BQ423" s="6">
        <v>861</v>
      </c>
      <c r="BR423" s="6" t="s">
        <v>24</v>
      </c>
      <c r="BS423" s="6">
        <v>340</v>
      </c>
      <c r="BT423" s="6" t="s">
        <v>25</v>
      </c>
      <c r="BU423" s="6">
        <v>977</v>
      </c>
      <c r="BV423" s="6" t="s">
        <v>26</v>
      </c>
      <c r="BW423" s="6">
        <v>5532</v>
      </c>
      <c r="BX423" s="6">
        <v>-3.67053355039471e-5</v>
      </c>
      <c r="BY423" s="6">
        <v>-3.90777707495936e-5</v>
      </c>
      <c r="BZ423" s="6">
        <v>2.26097565910401</v>
      </c>
    </row>
    <row r="424" spans="1:78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6" t="s">
        <v>24</v>
      </c>
      <c r="BB424" s="6">
        <v>861</v>
      </c>
      <c r="BC424" s="6" t="s">
        <v>24</v>
      </c>
      <c r="BD424" s="6">
        <v>340</v>
      </c>
      <c r="BE424" s="6" t="s">
        <v>25</v>
      </c>
      <c r="BF424" s="6">
        <v>841</v>
      </c>
      <c r="BG424" s="6" t="s">
        <v>26</v>
      </c>
      <c r="BH424" s="6">
        <v>4704</v>
      </c>
      <c r="BI424" s="6">
        <v>-0.000194363987835191</v>
      </c>
      <c r="BJ424" s="6">
        <v>-0.000205066658799013</v>
      </c>
      <c r="BK424" s="6">
        <v>2.62370971248056</v>
      </c>
      <c r="BL424" s="18"/>
      <c r="BM424" s="4">
        <f t="shared" si="15"/>
        <v>799.875</v>
      </c>
      <c r="BN424" s="15">
        <f t="shared" si="13"/>
        <v>61.125</v>
      </c>
      <c r="BO424" s="6"/>
      <c r="BP424" s="6" t="s">
        <v>24</v>
      </c>
      <c r="BQ424" s="6">
        <v>861</v>
      </c>
      <c r="BR424" s="6" t="s">
        <v>24</v>
      </c>
      <c r="BS424" s="6">
        <v>340</v>
      </c>
      <c r="BT424" s="6" t="s">
        <v>25</v>
      </c>
      <c r="BU424" s="6">
        <v>1034</v>
      </c>
      <c r="BV424" s="6" t="s">
        <v>26</v>
      </c>
      <c r="BW424" s="6">
        <v>5862</v>
      </c>
      <c r="BX424" s="6">
        <v>-4.85086548711745e-5</v>
      </c>
      <c r="BY424" s="6">
        <v>-4.74429960987155e-5</v>
      </c>
      <c r="BZ424" s="6">
        <v>2.27944209718625</v>
      </c>
    </row>
    <row r="425" spans="1:78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1" t="s">
        <v>24</v>
      </c>
      <c r="BB425" s="11">
        <v>861</v>
      </c>
      <c r="BC425" s="11" t="s">
        <v>24</v>
      </c>
      <c r="BD425" s="11">
        <v>340</v>
      </c>
      <c r="BE425" s="11" t="s">
        <v>25</v>
      </c>
      <c r="BF425" s="11">
        <v>900</v>
      </c>
      <c r="BG425" s="11" t="s">
        <v>26</v>
      </c>
      <c r="BH425" s="11">
        <v>5046</v>
      </c>
      <c r="BI425" s="11">
        <v>-8.17856480121913e-5</v>
      </c>
      <c r="BJ425" s="11">
        <v>-9.12891204686974e-5</v>
      </c>
      <c r="BK425" s="11">
        <v>2.45825589960473</v>
      </c>
      <c r="BL425" s="20"/>
      <c r="BM425" s="12">
        <f t="shared" si="15"/>
        <v>856.855</v>
      </c>
      <c r="BN425" s="15">
        <f t="shared" si="13"/>
        <v>4.14499999999975</v>
      </c>
      <c r="BO425" s="6"/>
      <c r="BP425" s="6" t="s">
        <v>24</v>
      </c>
      <c r="BQ425" s="6">
        <v>861</v>
      </c>
      <c r="BR425" s="6" t="s">
        <v>24</v>
      </c>
      <c r="BS425" s="6">
        <v>340</v>
      </c>
      <c r="BT425" s="6" t="s">
        <v>25</v>
      </c>
      <c r="BU425" s="6">
        <v>1085</v>
      </c>
      <c r="BV425" s="6" t="s">
        <v>26</v>
      </c>
      <c r="BW425" s="6">
        <v>6156</v>
      </c>
      <c r="BX425" s="6">
        <v>-2.61810138846835e-5</v>
      </c>
      <c r="BY425" s="6">
        <v>-2.51162450476448e-5</v>
      </c>
      <c r="BZ425" s="6">
        <v>2.13962952947854</v>
      </c>
    </row>
    <row r="426" spans="1:78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6" t="s">
        <v>24</v>
      </c>
      <c r="BB426" s="6">
        <v>861</v>
      </c>
      <c r="BC426" s="6" t="s">
        <v>24</v>
      </c>
      <c r="BD426" s="6">
        <v>340</v>
      </c>
      <c r="BE426" s="6" t="s">
        <v>25</v>
      </c>
      <c r="BF426" s="6">
        <v>961</v>
      </c>
      <c r="BG426" s="6" t="s">
        <v>26</v>
      </c>
      <c r="BH426" s="6">
        <v>5400</v>
      </c>
      <c r="BI426" s="6">
        <v>-5.48484182293487e-5</v>
      </c>
      <c r="BJ426" s="6">
        <v>-5.44488723328979e-5</v>
      </c>
      <c r="BK426" s="6">
        <v>2.32449713092511</v>
      </c>
      <c r="BL426" s="18"/>
      <c r="BM426" s="4">
        <f t="shared" si="15"/>
        <v>915.795</v>
      </c>
      <c r="BN426" s="15">
        <f t="shared" si="13"/>
        <v>54.7950000000002</v>
      </c>
      <c r="BO426" s="6"/>
      <c r="BP426" s="6" t="s">
        <v>24</v>
      </c>
      <c r="BQ426" s="6">
        <v>861</v>
      </c>
      <c r="BR426" s="6" t="s">
        <v>24</v>
      </c>
      <c r="BS426" s="6">
        <v>340</v>
      </c>
      <c r="BT426" s="6" t="s">
        <v>25</v>
      </c>
      <c r="BU426" s="6">
        <v>1177</v>
      </c>
      <c r="BV426" s="6" t="s">
        <v>26</v>
      </c>
      <c r="BW426" s="6">
        <v>6696</v>
      </c>
      <c r="BX426" s="6">
        <v>-1.69791052221983e-5</v>
      </c>
      <c r="BY426" s="6">
        <v>-1.6982648300565e-5</v>
      </c>
      <c r="BZ426" s="6">
        <v>2.06267078076624</v>
      </c>
    </row>
    <row r="427" spans="1:78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6" t="s">
        <v>24</v>
      </c>
      <c r="BB427" s="6">
        <v>861</v>
      </c>
      <c r="BC427" s="6" t="s">
        <v>24</v>
      </c>
      <c r="BD427" s="6">
        <v>340</v>
      </c>
      <c r="BE427" s="6" t="s">
        <v>25</v>
      </c>
      <c r="BF427" s="6">
        <v>1024</v>
      </c>
      <c r="BG427" s="6" t="s">
        <v>26</v>
      </c>
      <c r="BH427" s="6">
        <v>5766</v>
      </c>
      <c r="BI427" s="6">
        <v>-3.76222783834378e-5</v>
      </c>
      <c r="BJ427" s="6">
        <v>-3.7715501287491e-5</v>
      </c>
      <c r="BK427" s="6">
        <v>2.24807456621661</v>
      </c>
      <c r="BL427" s="18"/>
      <c r="BM427" s="4">
        <f t="shared" si="15"/>
        <v>976.695</v>
      </c>
      <c r="BN427" s="15">
        <f t="shared" si="13"/>
        <v>115.695</v>
      </c>
      <c r="BO427" s="6"/>
      <c r="BP427" s="6" t="s">
        <v>24</v>
      </c>
      <c r="BQ427" s="6">
        <v>861</v>
      </c>
      <c r="BR427" s="6" t="s">
        <v>24</v>
      </c>
      <c r="BS427" s="6">
        <v>340</v>
      </c>
      <c r="BT427" s="6" t="s">
        <v>25</v>
      </c>
      <c r="BU427" s="6">
        <v>1243</v>
      </c>
      <c r="BV427" s="6" t="s">
        <v>26</v>
      </c>
      <c r="BW427" s="6">
        <v>7080</v>
      </c>
      <c r="BX427" s="6">
        <v>-1.26497610538323e-5</v>
      </c>
      <c r="BY427" s="6">
        <v>-1.29412520788316e-5</v>
      </c>
      <c r="BZ427" s="6">
        <v>2.01303155894974</v>
      </c>
    </row>
    <row r="428" spans="1:7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6" t="s">
        <v>24</v>
      </c>
      <c r="BB428" s="6">
        <v>861</v>
      </c>
      <c r="BC428" s="6" t="s">
        <v>24</v>
      </c>
      <c r="BD428" s="6">
        <v>340</v>
      </c>
      <c r="BE428" s="6" t="s">
        <v>25</v>
      </c>
      <c r="BF428" s="6">
        <v>1089</v>
      </c>
      <c r="BG428" s="6" t="s">
        <v>26</v>
      </c>
      <c r="BH428" s="6">
        <v>6144</v>
      </c>
      <c r="BI428" s="6">
        <v>-2.57477605283422e-5</v>
      </c>
      <c r="BJ428" s="6">
        <v>-2.65255011454148e-5</v>
      </c>
      <c r="BK428" s="6">
        <v>2.1764632470645</v>
      </c>
      <c r="BL428" s="18"/>
      <c r="BM428" s="4">
        <f t="shared" si="15"/>
        <v>1039.555</v>
      </c>
      <c r="BN428" s="15">
        <f t="shared" si="13"/>
        <v>178.555</v>
      </c>
      <c r="BO428" s="6"/>
      <c r="BP428" s="6" t="s">
        <v>24</v>
      </c>
      <c r="BQ428" s="6">
        <v>861</v>
      </c>
      <c r="BR428" s="6" t="s">
        <v>24</v>
      </c>
      <c r="BS428" s="6">
        <v>340</v>
      </c>
      <c r="BT428" s="6" t="s">
        <v>25</v>
      </c>
      <c r="BU428" s="6">
        <v>1325</v>
      </c>
      <c r="BV428" s="6" t="s">
        <v>26</v>
      </c>
      <c r="BW428" s="6">
        <v>7560</v>
      </c>
      <c r="BX428" s="6">
        <v>-1.00441201525996e-5</v>
      </c>
      <c r="BY428" s="6">
        <v>-1.03844730243737e-5</v>
      </c>
      <c r="BZ428" s="6">
        <v>1.96609870086487</v>
      </c>
    </row>
    <row r="429" spans="1:76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18"/>
      <c r="BM429" s="18"/>
      <c r="BN429" s="15"/>
      <c r="BO429" s="6"/>
      <c r="BP429" s="6"/>
      <c r="BQ429" s="6"/>
      <c r="BR429" s="6"/>
      <c r="BS429" s="6"/>
      <c r="BT429" s="6"/>
      <c r="BU429" s="6"/>
      <c r="BV429" s="6"/>
      <c r="BW429" s="6"/>
      <c r="BX429" s="6"/>
    </row>
    <row r="430" spans="1:68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18"/>
      <c r="BM430" s="18"/>
      <c r="BO430" s="18"/>
      <c r="BP430" s="18"/>
    </row>
    <row r="431" spans="1:68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18"/>
      <c r="BM431" s="18"/>
      <c r="BO431" s="18"/>
      <c r="BP431" s="18"/>
    </row>
    <row r="432" spans="1:68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18"/>
      <c r="BM432" s="18"/>
      <c r="BO432" s="18"/>
      <c r="BP432" s="18"/>
    </row>
    <row r="433" spans="1:68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18"/>
      <c r="BM433" s="18"/>
      <c r="BO433" s="18"/>
      <c r="BP433" s="18"/>
    </row>
    <row r="434" spans="1:68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18"/>
      <c r="BM434" s="18"/>
      <c r="BO434" s="18"/>
      <c r="BP434" s="18"/>
    </row>
    <row r="435" spans="1:68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18"/>
      <c r="BM435" s="18"/>
      <c r="BO435" s="18"/>
      <c r="BP435" s="18"/>
    </row>
    <row r="436" spans="1:68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18"/>
      <c r="BM436" s="18"/>
      <c r="BO436" s="18"/>
      <c r="BP436" s="18"/>
    </row>
    <row r="437" spans="1:68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18"/>
      <c r="BM437" s="18"/>
      <c r="BO437" s="18"/>
      <c r="BP437" s="18"/>
    </row>
    <row r="438" spans="1:6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18"/>
      <c r="BM438" s="18"/>
      <c r="BO438" s="18"/>
      <c r="BP438" s="18"/>
    </row>
    <row r="439" spans="1:68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18"/>
      <c r="BM439" s="18"/>
      <c r="BO439" s="18"/>
      <c r="BP439" s="18"/>
    </row>
    <row r="440" spans="53:63"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</row>
    <row r="441" spans="53:63"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</row>
    <row r="442" spans="53:63"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</row>
  </sheetData>
  <mergeCells count="71">
    <mergeCell ref="A1:K2"/>
    <mergeCell ref="N1:X2"/>
    <mergeCell ref="AA1:AK2"/>
    <mergeCell ref="AN1:AX2"/>
    <mergeCell ref="BA1:BK2"/>
    <mergeCell ref="AN235:AX236"/>
    <mergeCell ref="AN258:AX259"/>
    <mergeCell ref="AN280:AX281"/>
    <mergeCell ref="AN301:AX302"/>
    <mergeCell ref="AN321:AX322"/>
    <mergeCell ref="AN340:AX341"/>
    <mergeCell ref="AN358:AX359"/>
    <mergeCell ref="AN375:AX376"/>
    <mergeCell ref="AA239:AK240"/>
    <mergeCell ref="BA3:BK4"/>
    <mergeCell ref="BA5:BK6"/>
    <mergeCell ref="BA7:BK8"/>
    <mergeCell ref="BA9:BK10"/>
    <mergeCell ref="BA11:BK12"/>
    <mergeCell ref="BA13:BK14"/>
    <mergeCell ref="BA15:BK16"/>
    <mergeCell ref="BA17:BK18"/>
    <mergeCell ref="BA19:BK20"/>
    <mergeCell ref="BA49:BK50"/>
    <mergeCell ref="BA78:BK79"/>
    <mergeCell ref="BA106:BK107"/>
    <mergeCell ref="BA133:BK134"/>
    <mergeCell ref="BA159:BK160"/>
    <mergeCell ref="BA184:BK185"/>
    <mergeCell ref="BA208:BK209"/>
    <mergeCell ref="BA231:BK232"/>
    <mergeCell ref="BA253:BK254"/>
    <mergeCell ref="BA274:BK275"/>
    <mergeCell ref="BA294:BK295"/>
    <mergeCell ref="BA313:BK314"/>
    <mergeCell ref="BA331:BK332"/>
    <mergeCell ref="BA348:BK349"/>
    <mergeCell ref="BA364:BK365"/>
    <mergeCell ref="BA379:BK380"/>
    <mergeCell ref="BA393:BK394"/>
    <mergeCell ref="BA406:BK407"/>
    <mergeCell ref="BA418:BK419"/>
    <mergeCell ref="BP1:BZ2"/>
    <mergeCell ref="BP3:BZ4"/>
    <mergeCell ref="BP5:BZ6"/>
    <mergeCell ref="BP7:BZ8"/>
    <mergeCell ref="BP9:BZ10"/>
    <mergeCell ref="BP11:BZ12"/>
    <mergeCell ref="BP13:BZ14"/>
    <mergeCell ref="BP15:BZ16"/>
    <mergeCell ref="BP17:BZ18"/>
    <mergeCell ref="BP19:BZ20"/>
    <mergeCell ref="BP49:BZ50"/>
    <mergeCell ref="BP78:BZ79"/>
    <mergeCell ref="BP106:BZ107"/>
    <mergeCell ref="BP133:BZ134"/>
    <mergeCell ref="BP159:BZ160"/>
    <mergeCell ref="BP184:BZ185"/>
    <mergeCell ref="BP208:BZ209"/>
    <mergeCell ref="BP231:BZ232"/>
    <mergeCell ref="BP253:BZ254"/>
    <mergeCell ref="BP274:BZ275"/>
    <mergeCell ref="BP294:BZ295"/>
    <mergeCell ref="BP313:BZ314"/>
    <mergeCell ref="BP331:BZ332"/>
    <mergeCell ref="BP348:BZ349"/>
    <mergeCell ref="BP364:BZ365"/>
    <mergeCell ref="BP379:BZ380"/>
    <mergeCell ref="BP393:BZ394"/>
    <mergeCell ref="BP406:BZ407"/>
    <mergeCell ref="BP418:BZ4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浪裏小白龍</cp:lastModifiedBy>
  <dcterms:created xsi:type="dcterms:W3CDTF">2018-05-25T10:41:00Z</dcterms:created>
  <dcterms:modified xsi:type="dcterms:W3CDTF">2026-01-08T16:56:59Z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5F45DDBD9023C3BE386CCA68F9B6B60A_42</vt:lpwstr>
  </property>
  <property fmtid="{D5CDD505-2E9C-101B-9397-08002B2CF9AE}" pid="3" name="KSOProductBuildVer">
    <vt:lpwstr>2052-12.1.0.17900</vt:lpwstr>
  </property>
</Properties>
</file>